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Уровни шума" sheetId="1" state="visible" r:id="rId3"/>
    <sheet name="Категории" sheetId="2" state="visible" r:id="rId4"/>
    <sheet name="Пояснения" sheetId="3" state="visible" r:id="rId5"/>
  </sheets>
  <definedNames>
    <definedName function="false" hidden="true" localSheetId="0" name="_xlnm._FilterDatabase" vbProcedure="false">'Уровни шума'!$A$5:$K$225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Для коридоров (п. 21 табл. В.1): максимум из уровня по умолчанию и уровня определяющего смежного помещения (столбец E).</t>
        </r>
      </text>
    </comment>
  </commentList>
</comments>
</file>

<file path=xl/sharedStrings.xml><?xml version="1.0" encoding="utf-8"?>
<sst xmlns="http://schemas.openxmlformats.org/spreadsheetml/2006/main" count="793" uniqueCount="358">
  <si>
    <t xml:space="preserve">Уровни постоянного шума в помещениях (СП 3.13130.2026, прил. В, табл. В.1)</t>
  </si>
  <si>
    <t xml:space="preserve">Объект: МБОУ ЦО № 69, Уфа, ул. Даута Юлтыя, 6. Шифр 1417/2026-АПС, СОУЭ</t>
  </si>
  <si>
    <t xml:space="preserve">Синие ячейки (D, E) — исходные данные. Остальное — формулы. Уровни по категориям меняются на листе «Категории».</t>
  </si>
  <si>
    <t xml:space="preserve">Этаж</t>
  </si>
  <si>
    <t xml:space="preserve">№ пом.</t>
  </si>
  <si>
    <t xml:space="preserve">Назначение (по экспликации)</t>
  </si>
  <si>
    <t xml:space="preserve">Категория (табл. В.1)</t>
  </si>
  <si>
    <t xml:space="preserve">Определяющее смежное пом. (для коридоров)</t>
  </si>
  <si>
    <t xml:space="preserve">LAeq постоянного шума, дБА</t>
  </si>
  <si>
    <t xml:space="preserve">Основание (табл. В.1)</t>
  </si>
  <si>
    <t xml:space="preserve">Мин. УЗД сигнала оповещения, дБА (п. 6.8.2)</t>
  </si>
  <si>
    <t xml:space="preserve">Разборчивость речи (п. 6.11)</t>
  </si>
  <si>
    <t xml:space="preserve">Примечание</t>
  </si>
  <si>
    <t xml:space="preserve">Уровень по категории, дБА</t>
  </si>
  <si>
    <t xml:space="preserve">1</t>
  </si>
  <si>
    <t xml:space="preserve">Тир</t>
  </si>
  <si>
    <t xml:space="preserve">Спортзал, тир, раздевалки</t>
  </si>
  <si>
    <t xml:space="preserve">Если стрельба ведётся в средствах защиты слуха — дополнительно световой способ (п. 6.2.9)</t>
  </si>
  <si>
    <t xml:space="preserve">2</t>
  </si>
  <si>
    <t xml:space="preserve">Бойлерная</t>
  </si>
  <si>
    <t xml:space="preserve">Насосы отопления</t>
  </si>
  <si>
    <t xml:space="preserve">3</t>
  </si>
  <si>
    <t xml:space="preserve">Слесарная</t>
  </si>
  <si>
    <t xml:space="preserve">Учебные мастерские со станками</t>
  </si>
  <si>
    <t xml:space="preserve">См. категорию: 60 дБА при автоматическом отключении станков (п. 6.8.7)</t>
  </si>
  <si>
    <t xml:space="preserve">4</t>
  </si>
  <si>
    <t xml:space="preserve">Коридор</t>
  </si>
  <si>
    <t xml:space="preserve">Коммуникационные пространства</t>
  </si>
  <si>
    <t xml:space="preserve">Смежные: 2 бойлерная, 3 слесарная</t>
  </si>
  <si>
    <t xml:space="preserve">5</t>
  </si>
  <si>
    <t xml:space="preserve">6</t>
  </si>
  <si>
    <t xml:space="preserve">7</t>
  </si>
  <si>
    <t xml:space="preserve">Смежная: 6 слесарная</t>
  </si>
  <si>
    <t xml:space="preserve">8</t>
  </si>
  <si>
    <t xml:space="preserve">Лестничная клетка</t>
  </si>
  <si>
    <t xml:space="preserve">9</t>
  </si>
  <si>
    <t xml:space="preserve">Подсобное</t>
  </si>
  <si>
    <t xml:space="preserve">Вспомогательные помещения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</si>
  <si>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</si>
  <si>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</si>
  <si>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</si>
  <si>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</si>
  <si>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</si>
  <si>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</si>
  <si>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</si>
  <si>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</si>
  <si>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</si>
  <si>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Кабинет</t>
  </si>
  <si>
    <t xml:space="preserve">Учебные помещения</t>
  </si>
  <si>
    <t xml:space="preserve">19</t>
  </si>
  <si>
    <t xml:space="preserve">20</t>
  </si>
  <si>
    <t xml:space="preserve">Класс</t>
  </si>
  <si>
    <t xml:space="preserve">21</t>
  </si>
  <si>
    <t xml:space="preserve">22</t>
  </si>
  <si>
    <t xml:space="preserve">Смежный: 1 тир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</si>
  <si>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</si>
  <si>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</si>
  <si>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</si>
  <si>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</si>
  <si>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</si>
  <si>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</si>
  <si>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</si>
  <si>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</si>
  <si>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Зал</t>
  </si>
  <si>
    <t xml:space="preserve">Многоцелевые залы</t>
  </si>
  <si>
    <t xml:space="preserve">Назначение уточнить; принят как многоцелевой зал</t>
  </si>
  <si>
    <t xml:space="preserve">31</t>
  </si>
  <si>
    <t xml:space="preserve">Комната охраны</t>
  </si>
  <si>
    <t xml:space="preserve">Пост охраны</t>
  </si>
  <si>
    <t xml:space="preserve">Пожарный пост, аварийный микрофон</t>
  </si>
  <si>
    <t xml:space="preserve">32</t>
  </si>
  <si>
    <t xml:space="preserve">Смежные: 30 зал, 31 комната охраны</t>
  </si>
  <si>
    <t xml:space="preserve">33</t>
  </si>
  <si>
    <t xml:space="preserve">Тамбур</t>
  </si>
  <si>
    <t xml:space="preserve">При площади менее 4 м² оповещение можно не предусматривать (п. 6.1.3)</t>
  </si>
  <si>
    <t xml:space="preserve">34</t>
  </si>
  <si>
    <t xml:space="preserve">36</t>
  </si>
  <si>
    <t xml:space="preserve">Раздевалка</t>
  </si>
  <si>
    <t xml:space="preserve">37</t>
  </si>
  <si>
    <t xml:space="preserve">38</t>
  </si>
  <si>
    <t xml:space="preserve">Смежная: 36 раздевалка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</si>
  <si>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</si>
  <si>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</si>
  <si>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</si>
  <si>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</si>
  <si>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</si>
  <si>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Бытовка</t>
  </si>
  <si>
    <t xml:space="preserve">44</t>
  </si>
  <si>
    <t xml:space="preserve">Спортзал</t>
  </si>
  <si>
    <t xml:space="preserve">45</t>
  </si>
  <si>
    <t xml:space="preserve">Кладовая</t>
  </si>
  <si>
    <t xml:space="preserve">46</t>
  </si>
  <si>
    <t xml:space="preserve">66</t>
  </si>
  <si>
    <t xml:space="preserve">Смежная: 66 столовая</t>
  </si>
  <si>
    <t xml:space="preserve">47</t>
  </si>
  <si>
    <t xml:space="preserve">Смежный: 44 спортзал</t>
  </si>
  <si>
    <t xml:space="preserve">48</t>
  </si>
  <si>
    <t xml:space="preserve">49</t>
  </si>
  <si>
    <t xml:space="preserve">Санузел</t>
  </si>
  <si>
    <t xml:space="preserve">Санузлы</t>
  </si>
  <si>
    <t xml:space="preserve">50</t>
  </si>
  <si>
    <t xml:space="preserve">Смежная: 48 раздевалка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</si>
  <si>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</si>
  <si>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</si>
  <si>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</si>
  <si>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</si>
  <si>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</si>
  <si>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Смежная: 52 раздевалка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</si>
  <si>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</si>
  <si>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</si>
  <si>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</si>
  <si>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</si>
  <si>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</si>
  <si>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63</t>
  </si>
  <si>
    <t xml:space="preserve">Смежные: 63 холодильная камера, 62 склад</t>
  </si>
  <si>
    <t xml:space="preserve">61</t>
  </si>
  <si>
    <t xml:space="preserve">Кооридор</t>
  </si>
  <si>
    <t xml:space="preserve">Опечатка в экспликации: «Кооридор»</t>
  </si>
  <si>
    <t xml:space="preserve">62</t>
  </si>
  <si>
    <t xml:space="preserve">Склад</t>
  </si>
  <si>
    <t xml:space="preserve">Холодильная камера</t>
  </si>
  <si>
    <t xml:space="preserve">Пищеблок</t>
  </si>
  <si>
    <t xml:space="preserve">Допускается звуковой способ вместо речевого (прим. 3 к табл. Б.1)</t>
  </si>
  <si>
    <t xml:space="preserve">64</t>
  </si>
  <si>
    <t xml:space="preserve">Моечная</t>
  </si>
  <si>
    <t xml:space="preserve">65</t>
  </si>
  <si>
    <t xml:space="preserve">Столовая</t>
  </si>
  <si>
    <t xml:space="preserve">Обеденный зал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</si>
  <si>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</si>
  <si>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</si>
  <si>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</si>
  <si>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</si>
  <si>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</si>
  <si>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</si>
  <si>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</si>
  <si>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</si>
  <si>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Мастерская</t>
  </si>
  <si>
    <t xml:space="preserve">75</t>
  </si>
  <si>
    <t xml:space="preserve">Смежная: 74 мастерская</t>
  </si>
  <si>
    <t xml:space="preserve">76</t>
  </si>
  <si>
    <t xml:space="preserve">Инструментальная</t>
  </si>
  <si>
    <t xml:space="preserve">77</t>
  </si>
  <si>
    <t xml:space="preserve">Лаборантская</t>
  </si>
  <si>
    <t xml:space="preserve">78</t>
  </si>
  <si>
    <t xml:space="preserve">79</t>
  </si>
  <si>
    <t xml:space="preserve">Номер на плане не проставлен; принят по наихудшему смежному (74 мастерская) — уточнить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</si>
  <si>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</si>
  <si>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</si>
  <si>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</si>
  <si>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</si>
  <si>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</si>
  <si>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</si>
  <si>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35</t>
  </si>
  <si>
    <t xml:space="preserve">86</t>
  </si>
  <si>
    <t xml:space="preserve">Библиотека</t>
  </si>
  <si>
    <t xml:space="preserve">87</t>
  </si>
  <si>
    <t xml:space="preserve">88</t>
  </si>
  <si>
    <t xml:space="preserve">Лаборанская</t>
  </si>
  <si>
    <t xml:space="preserve">Опечатка в экспликации: «Лаборанская»</t>
  </si>
  <si>
    <t xml:space="preserve">89</t>
  </si>
  <si>
    <t xml:space="preserve">90</t>
  </si>
  <si>
    <t xml:space="preserve">91</t>
  </si>
  <si>
    <t xml:space="preserve">92</t>
  </si>
  <si>
    <t xml:space="preserve">Смежная: 35 раздевалка — проверить по плану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</si>
  <si>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</si>
  <si>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</si>
  <si>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</si>
  <si>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</si>
  <si>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</si>
  <si>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</si>
  <si>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</si>
  <si>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</si>
  <si>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</si>
  <si>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</si>
  <si>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</si>
  <si>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</si>
  <si>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</si>
  <si>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</si>
  <si>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</si>
  <si>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</si>
  <si>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</si>
  <si>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109.1</t>
  </si>
  <si>
    <t xml:space="preserve">110</t>
  </si>
  <si>
    <t xml:space="preserve">Медпункт</t>
  </si>
  <si>
    <t xml:space="preserve">Медицинские помещения</t>
  </si>
  <si>
    <t xml:space="preserve">111</t>
  </si>
  <si>
    <t xml:space="preserve">Процедурная</t>
  </si>
  <si>
    <t xml:space="preserve">112</t>
  </si>
  <si>
    <t xml:space="preserve">113</t>
  </si>
  <si>
    <t xml:space="preserve">114</t>
  </si>
  <si>
    <t xml:space="preserve">114.1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</si>
  <si>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</si>
  <si>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</si>
  <si>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</si>
  <si>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</si>
  <si>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</si>
  <si>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</si>
  <si>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</si>
  <si>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</si>
  <si>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</si>
  <si>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</si>
  <si>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Архив</t>
  </si>
  <si>
    <t xml:space="preserve">125</t>
  </si>
  <si>
    <t xml:space="preserve">126</t>
  </si>
  <si>
    <t xml:space="preserve">127</t>
  </si>
  <si>
    <t xml:space="preserve">Приемная</t>
  </si>
  <si>
    <t xml:space="preserve">128</t>
  </si>
  <si>
    <t xml:space="preserve">129</t>
  </si>
  <si>
    <t xml:space="preserve">Актовый зал</t>
  </si>
  <si>
    <t xml:space="preserve">Шум выше 65 дБА — разборчивость подтверждать расчётом</t>
  </si>
  <si>
    <t xml:space="preserve">130</t>
  </si>
  <si>
    <t xml:space="preserve">132</t>
  </si>
  <si>
    <t xml:space="preserve">Смежные: 132 венткамера, 129 актовый зал</t>
  </si>
  <si>
    <t xml:space="preserve">131</t>
  </si>
  <si>
    <t xml:space="preserve">Венткамера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</si>
  <si>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</si>
  <si>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</si>
  <si>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</si>
  <si>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</si>
  <si>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</si>
  <si>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Площадка</t>
  </si>
  <si>
    <t xml:space="preserve">Смежный: 129 актовый зал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</si>
  <si>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</si>
  <si>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</si>
  <si>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</si>
  <si>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</si>
  <si>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</si>
  <si>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</si>
  <si>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</si>
  <si>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</si>
  <si>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</si>
  <si>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</si>
  <si>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</si>
  <si>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</si>
  <si>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</si>
  <si>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</si>
  <si>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</si>
  <si>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</si>
  <si>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</si>
  <si>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</si>
  <si>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</si>
  <si>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</si>
  <si>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</si>
  <si>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</si>
  <si>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</si>
  <si>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</si>
  <si>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</si>
  <si>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</si>
  <si>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</si>
  <si>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</si>
  <si>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</si>
  <si>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</si>
  <si>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</si>
  <si>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</si>
  <si>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</si>
  <si>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</si>
  <si>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</si>
  <si>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</si>
  <si>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</si>
  <si>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</si>
  <si>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</si>
  <si>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</si>
  <si>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177.1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</si>
  <si>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</si>
  <si>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</si>
  <si>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</si>
  <si>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</si>
  <si>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</si>
  <si>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</si>
  <si>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</si>
  <si>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</si>
  <si>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</si>
  <si>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</si>
  <si>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</si>
  <si>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</si>
  <si>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</si>
  <si>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</si>
  <si>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</si>
  <si>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</si>
  <si>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</si>
  <si>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194.1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</si>
  <si>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</si>
  <si>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</si>
  <si>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</si>
  <si>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</si>
  <si>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</si>
  <si>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</si>
  <si>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</si>
  <si>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201.1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</si>
  <si>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</si>
  <si>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</si>
  <si>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</si>
  <si>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</si>
  <si>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</si>
  <si>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</si>
  <si>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</si>
  <si>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</si>
  <si>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</si>
  <si>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</si>
  <si>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</si>
  <si>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</si>
  <si>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</si>
  <si>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</si>
  <si>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Справочник: УЗД постоянного шума по табл. В.1 СП 3.13130.2026</t>
  </si>
  <si>
    <t xml:space="preserve">Синие значения в столбце B можно менять — лист «Уровни шума» пересчитается.</t>
  </si>
  <si>
    <t xml:space="preserve">Категория помещений</t>
  </si>
  <si>
    <t xml:space="preserve">LAeq, дБА</t>
  </si>
  <si>
    <t xml:space="preserve">Позиция табл. В.1</t>
  </si>
  <si>
    <t xml:space="preserve">Обоснование</t>
  </si>
  <si>
    <t xml:space="preserve">п. 6</t>
  </si>
  <si>
    <t xml:space="preserve">Классные помещения, учебные кабинеты, учительские, читальные залы библиотек</t>
  </si>
  <si>
    <t xml:space="preserve">по аналогии с п. 6</t>
  </si>
  <si>
    <t xml:space="preserve">Подсобные, кладовые, склад, архив, инструментальная, бытовка, приёмная — помещения образовательной организации; в табл. В.1 прямой позиции нет</t>
  </si>
  <si>
    <t xml:space="preserve">п. 5</t>
  </si>
  <si>
    <t xml:space="preserve">Кабинеты врачей медицинских организаций</t>
  </si>
  <si>
    <t xml:space="preserve">п. 28</t>
  </si>
  <si>
    <t xml:space="preserve">Ванные, душевые, санузлы</t>
  </si>
  <si>
    <t xml:space="preserve">п. 18 (тир, раздевалки — по аналогии)</t>
  </si>
  <si>
    <t xml:space="preserve">Спортивные залы</t>
  </si>
  <si>
    <t xml:space="preserve">п. 12</t>
  </si>
  <si>
    <t xml:space="preserve">Залы кафе, ресторанов</t>
  </si>
  <si>
    <t xml:space="preserve">по аналогии с п. 26</t>
  </si>
  <si>
    <t xml:space="preserve">Кухни ресторанов и кафе (моечная, холодильная камера)</t>
  </si>
  <si>
    <t xml:space="preserve">п. 16</t>
  </si>
  <si>
    <t xml:space="preserve">Многоцелевые залы (актовый зал, зал)</t>
  </si>
  <si>
    <t xml:space="preserve">п. 2</t>
  </si>
  <si>
    <t xml:space="preserve">Рабочие помещения диспетчерских служб с речевой связью по телефону</t>
  </si>
  <si>
    <t xml:space="preserve">по аналогии с п. 4</t>
  </si>
  <si>
    <t xml:space="preserve">Помещения с постоянными рабочими местами производственных предприятий; станки учтены как постоянный шум (п. 6.8.7). При автоматическом отключении станков по сигналу «Пожар» не более чем за 60 с принять 60 дБА</t>
  </si>
  <si>
    <t xml:space="preserve">п. 24</t>
  </si>
  <si>
    <t xml:space="preserve">Помещения компрессорных и насосных (постоянно или попеременно работающих)</t>
  </si>
  <si>
    <t xml:space="preserve">п. 23</t>
  </si>
  <si>
    <t xml:space="preserve">Помещения для вентмашин</t>
  </si>
  <si>
    <t xml:space="preserve">п. 21</t>
  </si>
  <si>
    <t xml:space="preserve">Коридоры, лестничные клетки, тамбуры: по уровню шума в помещениях, имеющих прямое сообщение. По умолчанию — учебные помещения (60); если рядом более шумное помещение — по нему (столбец E)</t>
  </si>
  <si>
    <t xml:space="preserve">Пояснения к расчёту уровней шума</t>
  </si>
  <si>
    <t xml:space="preserve">Источник</t>
  </si>
  <si>
    <t xml:space="preserve">СП 3.13130.2026 (введён с 01.06.2026), приложение В, п. В.2.1 и таблица В.1. УЗД постоянного шума принимается по измерениям или по справочным данным табл. В.1; по заданию на проектирование значения можно корректировать в большую сторону.</t>
  </si>
  <si>
    <t xml:space="preserve">Примечание 2 к табл. В.1: фактический УЗД постоянного шума уточняется при вводе системы в эксплуатацию.</t>
  </si>
  <si>
    <t xml:space="preserve">П. 6.8.6: уровни постоянного шума должны быть отражены в проектной документации.</t>
  </si>
  <si>
    <t xml:space="preserve">Как выбраны значения</t>
  </si>
  <si>
    <t xml:space="preserve">1. Где назначение помещения прямо есть в табл. В.1 — взята эта позиция.</t>
  </si>
  <si>
    <t xml:space="preserve">2. Где прямой позиции нет — ближайшая по смыслу; в спорных случаях выбиралось большее значение (это допускает п. В.2.1).</t>
  </si>
  <si>
    <t xml:space="preserve">3. Коридоры, лестничные клетки, тамбуры (п. 21) — по шуму в смежных помещениях: по умолчанию 60 дБА (учебные помещения); если в коридор выходит более шумное помещение — по нему (лист «Уровни шума», столбец E). Смежность определена по планам листов 6–9.</t>
  </si>
  <si>
    <t xml:space="preserve">4. Мастерские и слесарные приняты 80 дБА: станки считаются постоянным шумом, если их нельзя автоматически остановить при пожаре за 60 с (п. 6.8.7). Если в проект добавить отключение станков по сигналу «Пожар», на листе «Категории» поменять 80 на 60 — мастерские и коридоры 7, 75, 79, 81, 84, 85 пересчитаются. Коридор 4 останется 80 (смежная бойлерная).</t>
  </si>
  <si>
    <t xml:space="preserve">Что следует из уровня шума</t>
  </si>
  <si>
    <t xml:space="preserve">П. 6.8.2: сигнал оповещения должен превышать постоянный шум не менее чем на 15 дБ и быть не ниже 65 дБА в любой точке на высоте 1,5 м (столбец H).</t>
  </si>
  <si>
    <t xml:space="preserve">П. 6.8.4: не более 110 дБА на высоте 1,5 м.</t>
  </si>
  <si>
    <t xml:space="preserve">П. 6.11.1: разборчивость речи — не менее 90% площади помещения.</t>
  </si>
  <si>
    <t xml:space="preserve">П. 6.11.3: упрощённая оценка разборчивости допустима, если шум не выше 65 дБА, речь превышает шум не менее чем на 10 дБ, шаг оповещателей не более 6 м (однонаправленные) или 12 м (двунаправленные). При шуме выше 65 дБА — расчёт по приложению В или ПО изготовителя (столбец I).</t>
  </si>
  <si>
    <t xml:space="preserve">Что нужно уточнить</t>
  </si>
  <si>
    <t xml:space="preserve">• Пом. 30 «Зал» — назначение (принят как многоцелевой, 70 дБА).</t>
  </si>
  <si>
    <t xml:space="preserve">• Коридоры восточного крыла 1 этажа (79, 81, 84, 85): номера на плане не проставлены; приняты по мастерской 74 (худший случай).</t>
  </si>
  <si>
    <t xml:space="preserve">• Коридор 92 — смежность с раздевалкой 35 проверить по плану.</t>
  </si>
  <si>
    <t xml:space="preserve">• Тир (пом. 1): если стрельба в средствах защиты слуха — нужен световой способ оповещения (п. 6.2.9).</t>
  </si>
  <si>
    <t xml:space="preserve">• На плане 1 этажа есть помещения 7.1 и 70.1–70.5, которых нет в экспликации, — добавить в экспликацию и в эту таблицу.</t>
  </si>
  <si>
    <t xml:space="preserve">• Подвал: на плане нет номеров помещений и экспликации — уровни шума для подвала определить после её появления.</t>
  </si>
  <si>
    <t xml:space="preserve">• Опечатки в экспликации: 61 «Кооридор», 88 и 156 «Лаборанская».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</si>
</sst>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52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5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23.85" hidden="false" customHeight="false" outlineLevel="0" collapsed="false">
      <c r="A6" s="5" t="n">
        <v>1</v>
      </c>
      <c r="B6" s="6" t="s">
        <v>14</v>
      </c>
      <c r="C6" s="7" t="s">
        <v>15</v>
      </c>
      <c r="D6" s="8" t="s">
        <v>16</v>
      </c>
      <c r="E6" s="9"/>
      <c r="F6" s="10" t="n">
        <f aca="false">IF($E6="",$K6,MAX($K6,INDEX($K$6:$K$225,MATCH($E6,$B$6:$B$225,0))))</f>
        <v>65</v>
      </c>
      <c r="G6" s="7" t="str">
        <f aca="false">IF($E6="",VLOOKUP($D6,Категории!$A$5:$C$17,3,FALSE()),"п. 21 — по пом. "&amp;$E6)</f>
        <v>п. 18 (тир, раздевалки — по аналогии)</v>
      </c>
      <c r="H6" s="5" t="n">
        <f aca="false">MAX($F6+15,65)</f>
        <v>80</v>
      </c>
      <c r="I6" s="7" t="str">
        <f aca="false">IF($F6&lt;=65,"упрощённая оценка (п. 6.11.3)","нужен расчёт (прил. В / ПО изготовителя)")</f>
        <v>упрощённая оценка (п. 6.11.3)</v>
      </c>
      <c r="J6" s="7" t="s">
        <v>17</v>
      </c>
      <c r="K6" s="11" t="n">
        <f aca="false">VLOOKUP($D6,Категории!$A$5:$C$17,2,FALSE())</f>
        <v>65</v>
      </c>
    </row>
    <row r="7" customFormat="false" ht="23.85" hidden="false" customHeight="false" outlineLevel="0" collapsed="false">
      <c r="A7" s="5" t="n">
        <v>1</v>
      </c>
      <c r="B7" s="6" t="s">
        <v>18</v>
      </c>
      <c r="C7" s="7" t="s">
        <v>19</v>
      </c>
      <c r="D7" s="8" t="s">
        <v>19</v>
      </c>
      <c r="E7" s="9"/>
      <c r="F7" s="10" t="n">
        <f aca="false">IF($E7="",$K7,MAX($K7,INDEX($K$6:$K$225,MATCH($E7,$B$6:$B$225,0))))</f>
        <v>80</v>
      </c>
      <c r="G7" s="7" t="str">
        <f aca="false">IF($E7="",VLOOKUP($D7,Категории!$A$5:$C$17,3,FALSE()),"п. 21 — по пом. "&amp;$E7)</f>
        <v>п. 24</v>
      </c>
      <c r="H7" s="5" t="n">
        <f aca="false">MAX($F7+15,65)</f>
        <v>95</v>
      </c>
      <c r="I7" s="7" t="str">
        <f aca="false">IF($F7&lt;=65,"упрощённая оценка (п. 6.11.3)","нужен расчёт (прил. В / ПО изготовителя)")</f>
        <v>нужен расчёт (прил. В / ПО изготовителя)</v>
      </c>
      <c r="J7" s="7" t="s">
        <v>20</v>
      </c>
      <c r="K7" s="11" t="n">
        <f aca="false">VLOOKUP($D7,Категории!$A$5:$C$17,2,FALSE())</f>
        <v>80</v>
      </c>
    </row>
    <row r="8" customFormat="false" ht="23.85" hidden="false" customHeight="false" outlineLevel="0" collapsed="false">
      <c r="A8" s="5" t="n">
        <v>1</v>
      </c>
      <c r="B8" s="6" t="s">
        <v>21</v>
      </c>
      <c r="C8" s="7" t="s">
        <v>22</v>
      </c>
      <c r="D8" s="8" t="s">
        <v>23</v>
      </c>
      <c r="E8" s="9"/>
      <c r="F8" s="10" t="n">
        <f aca="false">IF($E8="",$K8,MAX($K8,INDEX($K$6:$K$225,MATCH($E8,$B$6:$B$225,0))))</f>
        <v>80</v>
      </c>
      <c r="G8" s="7" t="str">
        <f aca="false">IF($E8="",VLOOKUP($D8,Категории!$A$5:$C$17,3,FALSE()),"п. 21 — по пом. "&amp;$E8)</f>
        <v>по аналогии с п. 4</v>
      </c>
      <c r="H8" s="5" t="n">
        <f aca="false">MAX($F8+15,65)</f>
        <v>95</v>
      </c>
      <c r="I8" s="7" t="str">
        <f aca="false">IF($F8&lt;=65,"упрощённая оценка (п. 6.11.3)","нужен расчёт (прил. В / ПО изготовителя)")</f>
        <v>нужен расчёт (прил. В / ПО изготовителя)</v>
      </c>
      <c r="J8" s="7" t="s">
        <v>24</v>
      </c>
      <c r="K8" s="11" t="n">
        <f aca="false">VLOOKUP($D8,Категории!$A$5:$C$17,2,FALSE())</f>
        <v>80</v>
      </c>
    </row>
    <row r="9" customFormat="false" ht="23.85" hidden="false" customHeight="false" outlineLevel="0" collapsed="false">
      <c r="A9" s="5" t="n">
        <v>1</v>
      </c>
      <c r="B9" s="6" t="s">
        <v>25</v>
      </c>
      <c r="C9" s="7" t="s">
        <v>26</v>
      </c>
      <c r="D9" s="8" t="s">
        <v>27</v>
      </c>
      <c r="E9" s="9" t="s">
        <v>18</v>
      </c>
      <c r="F9" s="10" t="n">
        <f aca="false">IF($E9="",$K9,MAX($K9,INDEX($K$6:$K$225,MATCH($E9,$B$6:$B$225,0))))</f>
        <v>80</v>
      </c>
      <c r="G9" s="7" t="str">
        <f aca="false">IF($E9="",VLOOKUP($D9,Категории!$A$5:$C$17,3,FALSE()),"п. 21 — по пом. "&amp;$E9)</f>
        <v>п. 21 — по пом. 2</v>
      </c>
      <c r="H9" s="5" t="n">
        <f aca="false">MAX($F9+15,65)</f>
        <v>95</v>
      </c>
      <c r="I9" s="7" t="str">
        <f aca="false">IF($F9&lt;=65,"упрощённая оценка (п. 6.11.3)","нужен расчёт (прил. В / ПО изготовителя)")</f>
        <v>нужен расчёт (прил. В / ПО изготовителя)</v>
      </c>
      <c r="J9" s="7" t="s">
        <v>28</v>
      </c>
      <c r="K9" s="11" t="n">
        <f aca="false">VLOOKUP($D9,Категории!$A$5:$C$17,2,FALSE())</f>
        <v>60</v>
      </c>
    </row>
    <row r="10" customFormat="false" ht="23.85" hidden="false" customHeight="false" outlineLevel="0" collapsed="false">
      <c r="A10" s="5" t="n">
        <v>1</v>
      </c>
      <c r="B10" s="6" t="s">
        <v>29</v>
      </c>
      <c r="C10" s="7" t="s">
        <v>22</v>
      </c>
      <c r="D10" s="8" t="s">
        <v>23</v>
      </c>
      <c r="E10" s="9"/>
      <c r="F10" s="10" t="n">
        <f aca="false">IF($E10="",$K10,MAX($K10,INDEX($K$6:$K$225,MATCH($E10,$B$6:$B$225,0))))</f>
        <v>80</v>
      </c>
      <c r="G10" s="7" t="str">
        <f aca="false">IF($E10="",VLOOKUP($D10,Категории!$A$5:$C$17,3,FALSE()),"п. 21 — по пом. "&amp;$E10)</f>
        <v>по аналогии с п. 4</v>
      </c>
      <c r="H10" s="5" t="n">
        <f aca="false">MAX($F10+15,65)</f>
        <v>95</v>
      </c>
      <c r="I10" s="7" t="str">
        <f aca="false">IF($F10&lt;=65,"упрощённая оценка (п. 6.11.3)","нужен расчёт (прил. В / ПО изготовителя)")</f>
        <v>нужен расчёт (прил. В / ПО изготовителя)</v>
      </c>
      <c r="J10" s="7" t="s">
        <v>24</v>
      </c>
      <c r="K10" s="11" t="n">
        <f aca="false">VLOOKUP($D10,Категории!$A$5:$C$17,2,FALSE())</f>
        <v>80</v>
      </c>
    </row>
    <row r="11" customFormat="false" ht="23.85" hidden="false" customHeight="false" outlineLevel="0" collapsed="false">
      <c r="A11" s="5" t="n">
        <v>1</v>
      </c>
      <c r="B11" s="6" t="s">
        <v>30</v>
      </c>
      <c r="C11" s="7" t="s">
        <v>22</v>
      </c>
      <c r="D11" s="8" t="s">
        <v>23</v>
      </c>
      <c r="E11" s="9"/>
      <c r="F11" s="10" t="n">
        <f aca="false">IF($E11="",$K11,MAX($K11,INDEX($K$6:$K$225,MATCH($E11,$B$6:$B$225,0))))</f>
        <v>80</v>
      </c>
      <c r="G11" s="7" t="str">
        <f aca="false">IF($E11="",VLOOKUP($D11,Категории!$A$5:$C$17,3,FALSE()),"п. 21 — по пом. "&amp;$E11)</f>
        <v>по аналогии с п. 4</v>
      </c>
      <c r="H11" s="5" t="n">
        <f aca="false">MAX($F11+15,65)</f>
        <v>95</v>
      </c>
      <c r="I11" s="7" t="str">
        <f aca="false">IF($F11&lt;=65,"упрощённая оценка (п. 6.11.3)","нужен расчёт (прил. В / ПО изготовителя)")</f>
        <v>нужен расчёт (прил. В / ПО изготовителя)</v>
      </c>
      <c r="J11" s="7" t="s">
        <v>24</v>
      </c>
      <c r="K11" s="11" t="n">
        <f aca="false">VLOOKUP($D11,Категории!$A$5:$C$17,2,FALSE())</f>
        <v>80</v>
      </c>
    </row>
    <row r="12" customFormat="false" ht="23.85" hidden="false" customHeight="false" outlineLevel="0" collapsed="false">
      <c r="A12" s="5" t="n">
        <v>1</v>
      </c>
      <c r="B12" s="6" t="s">
        <v>31</v>
      </c>
      <c r="C12" s="7" t="s">
        <v>26</v>
      </c>
      <c r="D12" s="8" t="s">
        <v>27</v>
      </c>
      <c r="E12" s="9" t="s">
        <v>30</v>
      </c>
      <c r="F12" s="10" t="n">
        <f aca="false">IF($E12="",$K12,MAX($K12,INDEX($K$6:$K$225,MATCH($E12,$B$6:$B$225,0))))</f>
        <v>80</v>
      </c>
      <c r="G12" s="7" t="str">
        <f aca="false">IF($E12="",VLOOKUP($D12,Категории!$A$5:$C$17,3,FALSE()),"п. 21 — по пом. "&amp;$E12)</f>
        <v>п. 21 — по пом. 6</v>
      </c>
      <c r="H12" s="5" t="n">
        <f aca="false">MAX($F12+15,65)</f>
        <v>95</v>
      </c>
      <c r="I12" s="7" t="str">
        <f aca="false">IF($F12&lt;=65,"упрощённая оценка (п. 6.11.3)","нужен расчёт (прил. В / ПО изготовителя)")</f>
        <v>нужен расчёт (прил. В / ПО изготовителя)</v>
      </c>
      <c r="J12" s="7" t="s">
        <v>32</v>
      </c>
      <c r="K12" s="11" t="n">
        <f aca="false">VLOOKUP($D12,Категории!$A$5:$C$17,2,FALSE())</f>
        <v>60</v>
      </c>
    </row>
    <row r="13" customFormat="false" ht="15" hidden="false" customHeight="false" outlineLevel="0" collapsed="false">
      <c r="A13" s="5" t="n">
        <v>1</v>
      </c>
      <c r="B13" s="6" t="s">
        <v>33</v>
      </c>
      <c r="C13" s="7" t="s">
        <v>34</v>
      </c>
      <c r="D13" s="8" t="s">
        <v>27</v>
      </c>
      <c r="E13" s="9"/>
      <c r="F13" s="10" t="n">
        <f aca="false">IF($E13="",$K13,MAX($K13,INDEX($K$6:$K$225,MATCH($E13,$B$6:$B$225,0))))</f>
        <v>60</v>
      </c>
      <c r="G13" s="7" t="str">
        <f aca="false">IF($E13="",VLOOKUP($D13,Категории!$A$5:$C$17,3,FALSE()),"п. 21 — по пом. "&amp;$E13)</f>
        <v>п. 21</v>
      </c>
      <c r="H13" s="5" t="n">
        <f aca="false">MAX($F13+15,65)</f>
        <v>75</v>
      </c>
      <c r="I13" s="7" t="str">
        <f aca="false">IF($F13&lt;=65,"упрощённая оценка (п. 6.11.3)","нужен расчёт (прил. В / ПО изготовителя)")</f>
        <v>упрощённая оценка (п. 6.11.3)</v>
      </c>
      <c r="J13" s="7"/>
      <c r="K13" s="11" t="n">
        <f aca="false">VLOOKUP($D13,Категории!$A$5:$C$17,2,FALSE())</f>
        <v>60</v>
      </c>
    </row>
    <row r="14" customFormat="false" ht="15" hidden="false" customHeight="false" outlineLevel="0" collapsed="false">
      <c r="A14" s="5" t="n">
        <v>1</v>
      </c>
      <c r="B14" s="6" t="s">
        <v>35</v>
      </c>
      <c r="C14" s="7" t="s">
        <v>36</v>
      </c>
      <c r="D14" s="8" t="s">
        <v>37</v>
      </c>
      <c r="E14" s="9"/>
      <c r="F14" s="10" t="n">
        <f aca="false">IF($E14="",$K14,MAX($K14,INDEX($K$6:$K$225,MATCH($E14,$B$6:$B$225,0))))</f>
        <v>60</v>
      </c>
      <c r="G14" s="7" t="str">
        <f aca="false">IF($E14="",VLOOKUP($D14,Категории!$A$5:$C$17,3,FALSE()),"п. 21 — по пом. "&amp;$E14)</f>
        <v>по аналогии с п. 6</v>
      </c>
      <c r="H14" s="5" t="n">
        <f aca="false">MAX($F14+15,65)</f>
        <v>75</v>
      </c>
      <c r="I14" s="7" t="str">
        <f aca="false">IF($F14&lt;=65,"упрощённая оценка (п. 6.11.3)","нужен расчёт (прил. В / ПО изготовителя)")</f>
        <v>упрощённая оценка (п. 6.11.3)</v>
      </c>
      <c r="J14" s="7"/>
      <c r="K14" s="11" t="n">
        <f aca="false">VLOOKUP($D14,Категории!$A$5:$C$17,2,FALSE())</f>
        <v>60</v>
      </c>
    </row>
    <row r="15" customFormat="false" ht="15" hidden="false" customHeight="false" outlineLevel="0" collapsed="false">
      <c r="A15" s="5" t="n">
        <v>1</v>
      </c>
      <c r="B15" s="6" t="s">
        <v>38</v>
      </c>
      <c r="C15" s="7" t="s">
        <v>36</v>
      </c>
      <c r="D15" s="8" t="s">
        <v>37</v>
      </c>
      <c r="E15" s="9"/>
      <c r="F15" s="10" t="n">
        <f aca="false">IF($E15="",$K15,MAX($K15,INDEX($K$6:$K$225,MATCH($E15,$B$6:$B$225,0))))</f>
        <v>60</v>
      </c>
      <c r="G15" s="7" t="str">
        <f aca="false">IF($E15="",VLOOKUP($D15,Категории!$A$5:$C$17,3,FALSE()),"п. 21 — по пом. "&amp;$E15)</f>
        <v>по аналогии с п. 6</v>
      </c>
      <c r="H15" s="5" t="n">
        <f aca="false">MAX($F15+15,65)</f>
        <v>75</v>
      </c>
      <c r="I15" s="7" t="str">
        <f aca="false">IF($F15&lt;=65,"упрощённая оценка (п. 6.11.3)","нужен расчёт (прил. В / ПО изготовителя)")</f>
        <v>упрощённая оценка (п. 6.11.3)</v>
      </c>
      <c r="J15" s="7"/>
      <c r="K15" s="11" t="n">
        <f aca="false">VLOOKUP($D15,Категории!$A$5:$C$17,2,FALSE())</f>
        <v>60</v>
      </c>
    </row>
    <row r="16" customFormat="false" ht="15" hidden="false" customHeight="false" outlineLevel="0" collapsed="false">
      <c r="A16" s="5" t="n">
        <v>1</v>
      </c>
      <c r="B16" s="6" t="s">
        <v>39</v>
      </c>
      <c r="C16" s="7" t="s">
        <v>36</v>
      </c>
      <c r="D16" s="8" t="s">
        <v>37</v>
      </c>
      <c r="E16" s="9"/>
      <c r="F16" s="10" t="n">
        <f aca="false">IF($E16="",$K16,MAX($K16,INDEX($K$6:$K$225,MATCH($E16,$B$6:$B$225,0))))</f>
        <v>60</v>
      </c>
      <c r="G16" s="7" t="str">
        <f aca="false">IF($E16="",VLOOKUP($D16,Категории!$A$5:$C$17,3,FALSE()),"п. 21 — по пом. "&amp;$E16)</f>
        <v>по аналогии с п. 6</v>
      </c>
      <c r="H16" s="5" t="n">
        <f aca="false">MAX($F16+15,65)</f>
        <v>75</v>
      </c>
      <c r="I16" s="7" t="str">
        <f aca="false">IF($F16&lt;=65,"упрощённая оценка (п. 6.11.3)","нужен расчёт (прил. В / ПО изготовителя)")</f>
        <v>упрощённая оценка (п. 6.11.3)</v>
      </c>
      <c r="J16" s="7"/>
      <c r="K16" s="11" t="n">
        <f aca="false">VLOOKUP($D16,Категории!$A$5:$C$17,2,FALSE())</f>
        <v>60</v>
      </c>
    </row>
    <row r="17" customFormat="false" ht="15" hidden="false" customHeight="false" outlineLevel="0" collapsed="false">
      <c r="A17" s="5" t="n">
        <v>1</v>
      </c>
      <c r="B17" s="6" t="s">
        <v>40</v>
      </c>
      <c r="C17" s="7" t="s">
        <v>36</v>
      </c>
      <c r="D17" s="8" t="s">
        <v>37</v>
      </c>
      <c r="E17" s="9"/>
      <c r="F17" s="10" t="n">
        <f aca="false">IF($E17="",$K17,MAX($K17,INDEX($K$6:$K$225,MATCH($E17,$B$6:$B$225,0))))</f>
        <v>60</v>
      </c>
      <c r="G17" s="7" t="str">
        <f aca="false">IF($E17="",VLOOKUP($D17,Категории!$A$5:$C$17,3,FALSE()),"п. 21 — по пом. "&amp;$E17)</f>
        <v>по аналогии с п. 6</v>
      </c>
      <c r="H17" s="5" t="n">
        <f aca="false">MAX($F17+15,65)</f>
        <v>75</v>
      </c>
      <c r="I17" s="7" t="str">
        <f aca="false">IF($F17&lt;=65,"упрощённая оценка (п. 6.11.3)","нужен расчёт (прил. В / ПО изготовителя)")</f>
        <v>упрощённая оценка (п. 6.11.3)</v>
      </c>
      <c r="J17" s="7"/>
      <c r="K17" s="11" t="n">
        <f aca="false">VLOOKUP($D17,Категории!$A$5:$C$17,2,FALSE())</f>
        <v>60</v>
      </c>
    </row>
    <row r="18" customFormat="false" ht="15" hidden="false" customHeight="false" outlineLevel="0" collapsed="false">
      <c r="A18" s="5" t="n">
        <v>1</v>
      </c>
      <c r="B18" s="6" t="s">
        <v>41</v>
      </c>
      <c r="C18" s="7" t="s">
        <v>36</v>
      </c>
      <c r="D18" s="8" t="s">
        <v>37</v>
      </c>
      <c r="E18" s="9"/>
      <c r="F18" s="10" t="n">
        <f aca="false">IF($E18="",$K18,MAX($K18,INDEX($K$6:$K$225,MATCH($E18,$B$6:$B$225,0))))</f>
        <v>60</v>
      </c>
      <c r="G18" s="7" t="str">
        <f aca="false">IF($E18="",VLOOKUP($D18,Категории!$A$5:$C$17,3,FALSE()),"п. 21 — по пом. "&amp;$E18)</f>
        <v>по аналогии с п. 6</v>
      </c>
      <c r="H18" s="5" t="n">
        <f aca="false">MAX($F18+15,65)</f>
        <v>75</v>
      </c>
      <c r="I18" s="7" t="str">
        <f aca="false">IF($F18&lt;=65,"упрощённая оценка (п. 6.11.3)","нужен расчёт (прил. В / ПО изготовителя)")</f>
        <v>упрощённая оценка (п. 6.11.3)</v>
      </c>
      <c r="J18" s="7"/>
      <c r="K18" s="11" t="n">
        <f aca="false">VLOOKUP($D18,Категории!$A$5:$C$17,2,FALSE())</f>
        <v>60</v>
      </c>
    </row>
    <row r="19" customFormat="false" ht="15" hidden="false" customHeight="false" outlineLevel="0" collapsed="false">
      <c r="A19" s="5" t="n">
        <v>1</v>
      </c>
      <c r="B19" s="6" t="s">
        <v>42</v>
      </c>
      <c r="C19" s="7" t="s">
        <v>36</v>
      </c>
      <c r="D19" s="8" t="s">
        <v>37</v>
      </c>
      <c r="E19" s="9"/>
      <c r="F19" s="10" t="n">
        <f aca="false">IF($E19="",$K19,MAX($K19,INDEX($K$6:$K$225,MATCH($E19,$B$6:$B$225,0))))</f>
        <v>60</v>
      </c>
      <c r="G19" s="7" t="str">
        <f aca="false">IF($E19="",VLOOKUP($D19,Категории!$A$5:$C$17,3,FALSE()),"п. 21 — по пом. "&amp;$E19)</f>
        <v>по аналогии с п. 6</v>
      </c>
      <c r="H19" s="5" t="n">
        <f aca="false">MAX($F19+15,65)</f>
        <v>75</v>
      </c>
      <c r="I19" s="7" t="str">
        <f aca="false">IF($F19&lt;=65,"упрощённая оценка (п. 6.11.3)","нужен расчёт (прил. В / ПО изготовителя)")</f>
        <v>упрощённая оценка (п. 6.11.3)</v>
      </c>
      <c r="J19" s="7"/>
      <c r="K19" s="11" t="n">
        <f aca="false">VLOOKUP($D19,Категории!$A$5:$C$17,2,FALSE())</f>
        <v>60</v>
      </c>
    </row>
    <row r="20" customFormat="false" ht="15" hidden="false" customHeight="false" outlineLevel="0" collapsed="false">
      <c r="A20" s="5" t="n">
        <v>1</v>
      </c>
      <c r="B20" s="6" t="s">
        <v>43</v>
      </c>
      <c r="C20" s="7" t="s">
        <v>36</v>
      </c>
      <c r="D20" s="8" t="s">
        <v>37</v>
      </c>
      <c r="E20" s="9"/>
      <c r="F20" s="10" t="n">
        <f aca="false">IF($E20="",$K20,MAX($K20,INDEX($K$6:$K$225,MATCH($E20,$B$6:$B$225,0))))</f>
        <v>60</v>
      </c>
      <c r="G20" s="7" t="str">
        <f aca="false">IF($E20="",VLOOKUP($D20,Категории!$A$5:$C$17,3,FALSE()),"п. 21 — по пом. "&amp;$E20)</f>
        <v>по аналогии с п. 6</v>
      </c>
      <c r="H20" s="5" t="n">
        <f aca="false">MAX($F20+15,65)</f>
        <v>75</v>
      </c>
      <c r="I20" s="7" t="str">
        <f aca="false">IF($F20&lt;=65,"упрощённая оценка (п. 6.11.3)","нужен расчёт (прил. В / ПО изготовителя)")</f>
        <v>упрощённая оценка (п. 6.11.3)</v>
      </c>
      <c r="J20" s="7"/>
      <c r="K20" s="11" t="n">
        <f aca="false">VLOOKUP($D20,Категории!$A$5:$C$17,2,FALSE())</f>
        <v>60</v>
      </c>
    </row>
    <row r="21" customFormat="false" ht="15" hidden="false" customHeight="false" outlineLevel="0" collapsed="false">
      <c r="A21" s="5" t="n">
        <v>1</v>
      </c>
      <c r="B21" s="6" t="s">
        <v>44</v>
      </c>
      <c r="C21" s="7" t="s">
        <v>36</v>
      </c>
      <c r="D21" s="8" t="s">
        <v>37</v>
      </c>
      <c r="E21" s="9"/>
      <c r="F21" s="10" t="n">
        <f aca="false">IF($E21="",$K21,MAX($K21,INDEX($K$6:$K$225,MATCH($E21,$B$6:$B$225,0))))</f>
        <v>60</v>
      </c>
      <c r="G21" s="7" t="str">
        <f aca="false">IF($E21="",VLOOKUP($D21,Категории!$A$5:$C$17,3,FALSE()),"п. 21 — по пом. "&amp;$E21)</f>
        <v>по аналогии с п. 6</v>
      </c>
      <c r="H21" s="5" t="n">
        <f aca="false">MAX($F21+15,65)</f>
        <v>75</v>
      </c>
      <c r="I21" s="7" t="str">
        <f aca="false">IF($F21&lt;=65,"упрощённая оценка (п. 6.11.3)","нужен расчёт (прил. В / ПО изготовителя)")</f>
        <v>упрощённая оценка (п. 6.11.3)</v>
      </c>
      <c r="J21" s="7"/>
      <c r="K21" s="11" t="n">
        <f aca="false">VLOOKUP($D21,Категории!$A$5:$C$17,2,FALSE())</f>
        <v>60</v>
      </c>
    </row>
    <row r="22" customFormat="false" ht="15" hidden="false" customHeight="false" outlineLevel="0" collapsed="false">
      <c r="A22" s="5" t="n">
        <v>1</v>
      </c>
      <c r="B22" s="6" t="s">
        <v>45</v>
      </c>
      <c r="C22" s="7" t="s">
        <v>26</v>
      </c>
      <c r="D22" s="8" t="s">
        <v>27</v>
      </c>
      <c r="E22" s="9"/>
      <c r="F22" s="10" t="n">
        <f aca="false">IF($E22="",$K22,MAX($K22,INDEX($K$6:$K$225,MATCH($E22,$B$6:$B$225,0))))</f>
        <v>60</v>
      </c>
      <c r="G22" s="7" t="str">
        <f aca="false">IF($E22="",VLOOKUP($D22,Категории!$A$5:$C$17,3,FALSE()),"п. 21 — по пом. "&amp;$E22)</f>
        <v>п. 21</v>
      </c>
      <c r="H22" s="5" t="n">
        <f aca="false">MAX($F22+15,65)</f>
        <v>75</v>
      </c>
      <c r="I22" s="7" t="str">
        <f aca="false">IF($F22&lt;=65,"упрощённая оценка (п. 6.11.3)","нужен расчёт (прил. В / ПО изготовителя)")</f>
        <v>упрощённая оценка (п. 6.11.3)</v>
      </c>
      <c r="J22" s="7"/>
      <c r="K22" s="11" t="n">
        <f aca="false">VLOOKUP($D22,Категории!$A$5:$C$17,2,FALSE())</f>
        <v>60</v>
      </c>
    </row>
    <row r="23" customFormat="false" ht="15" hidden="false" customHeight="false" outlineLevel="0" collapsed="false">
      <c r="A23" s="5" t="n">
        <v>1</v>
      </c>
      <c r="B23" s="6" t="s">
        <v>46</v>
      </c>
      <c r="C23" s="7" t="s">
        <v>47</v>
      </c>
      <c r="D23" s="8" t="s">
        <v>48</v>
      </c>
      <c r="E23" s="9"/>
      <c r="F23" s="10" t="n">
        <f aca="false">IF($E23="",$K23,MAX($K23,INDEX($K$6:$K$225,MATCH($E23,$B$6:$B$225,0))))</f>
        <v>60</v>
      </c>
      <c r="G23" s="7" t="str">
        <f aca="false">IF($E23="",VLOOKUP($D23,Категории!$A$5:$C$17,3,FALSE()),"п. 21 — по пом. "&amp;$E23)</f>
        <v>п. 6</v>
      </c>
      <c r="H23" s="5" t="n">
        <f aca="false">MAX($F23+15,65)</f>
        <v>75</v>
      </c>
      <c r="I23" s="7" t="str">
        <f aca="false">IF($F23&lt;=65,"упрощённая оценка (п. 6.11.3)","нужен расчёт (прил. В / ПО изготовителя)")</f>
        <v>упрощённая оценка (п. 6.11.3)</v>
      </c>
      <c r="J23" s="7"/>
      <c r="K23" s="11" t="n">
        <f aca="false">VLOOKUP($D23,Категории!$A$5:$C$17,2,FALSE())</f>
        <v>60</v>
      </c>
    </row>
    <row r="24" customFormat="false" ht="15" hidden="false" customHeight="false" outlineLevel="0" collapsed="false">
      <c r="A24" s="5" t="n">
        <v>1</v>
      </c>
      <c r="B24" s="6" t="s">
        <v>49</v>
      </c>
      <c r="C24" s="7" t="s">
        <v>47</v>
      </c>
      <c r="D24" s="8" t="s">
        <v>48</v>
      </c>
      <c r="E24" s="9"/>
      <c r="F24" s="10" t="n">
        <f aca="false">IF($E24="",$K24,MAX($K24,INDEX($K$6:$K$225,MATCH($E24,$B$6:$B$225,0))))</f>
        <v>60</v>
      </c>
      <c r="G24" s="7" t="str">
        <f aca="false">IF($E24="",VLOOKUP($D24,Категории!$A$5:$C$17,3,FALSE()),"п. 21 — по пом. "&amp;$E24)</f>
        <v>п. 6</v>
      </c>
      <c r="H24" s="5" t="n">
        <f aca="false">MAX($F24+15,65)</f>
        <v>75</v>
      </c>
      <c r="I24" s="7" t="str">
        <f aca="false">IF($F24&lt;=65,"упрощённая оценка (п. 6.11.3)","нужен расчёт (прил. В / ПО изготовителя)")</f>
        <v>упрощённая оценка (п. 6.11.3)</v>
      </c>
      <c r="J24" s="7"/>
      <c r="K24" s="11" t="n">
        <f aca="false">VLOOKUP($D24,Категории!$A$5:$C$17,2,FALSE())</f>
        <v>60</v>
      </c>
    </row>
    <row r="25" customFormat="false" ht="15" hidden="false" customHeight="false" outlineLevel="0" collapsed="false">
      <c r="A25" s="5" t="n">
        <v>1</v>
      </c>
      <c r="B25" s="6" t="s">
        <v>50</v>
      </c>
      <c r="C25" s="7" t="s">
        <v>51</v>
      </c>
      <c r="D25" s="8" t="s">
        <v>48</v>
      </c>
      <c r="E25" s="9"/>
      <c r="F25" s="10" t="n">
        <f aca="false">IF($E25="",$K25,MAX($K25,INDEX($K$6:$K$225,MATCH($E25,$B$6:$B$225,0))))</f>
        <v>60</v>
      </c>
      <c r="G25" s="7" t="str">
        <f aca="false">IF($E25="",VLOOKUP($D25,Категории!$A$5:$C$17,3,FALSE()),"п. 21 — по пом. "&amp;$E25)</f>
        <v>п. 6</v>
      </c>
      <c r="H25" s="5" t="n">
        <f aca="false">MAX($F25+15,65)</f>
        <v>75</v>
      </c>
      <c r="I25" s="7" t="str">
        <f aca="false">IF($F25&lt;=65,"упрощённая оценка (п. 6.11.3)","нужен расчёт (прил. В / ПО изготовителя)")</f>
        <v>упрощённая оценка (п. 6.11.3)</v>
      </c>
      <c r="J25" s="7"/>
      <c r="K25" s="11" t="n">
        <f aca="false">VLOOKUP($D25,Категории!$A$5:$C$17,2,FALSE())</f>
        <v>60</v>
      </c>
    </row>
    <row r="26" customFormat="false" ht="15" hidden="false" customHeight="false" outlineLevel="0" collapsed="false">
      <c r="A26" s="5" t="n">
        <v>1</v>
      </c>
      <c r="B26" s="6" t="s">
        <v>52</v>
      </c>
      <c r="C26" s="7" t="s">
        <v>47</v>
      </c>
      <c r="D26" s="8" t="s">
        <v>48</v>
      </c>
      <c r="E26" s="9"/>
      <c r="F26" s="10" t="n">
        <f aca="false">IF($E26="",$K26,MAX($K26,INDEX($K$6:$K$225,MATCH($E26,$B$6:$B$225,0))))</f>
        <v>60</v>
      </c>
      <c r="G26" s="7" t="str">
        <f aca="false">IF($E26="",VLOOKUP($D26,Категории!$A$5:$C$17,3,FALSE()),"п. 21 — по пом. "&amp;$E26)</f>
        <v>п. 6</v>
      </c>
      <c r="H26" s="5" t="n">
        <f aca="false">MAX($F26+15,65)</f>
        <v>75</v>
      </c>
      <c r="I26" s="7" t="str">
        <f aca="false">IF($F26&lt;=65,"упрощённая оценка (п. 6.11.3)","нужен расчёт (прил. В / ПО изготовителя)")</f>
        <v>упрощённая оценка (п. 6.11.3)</v>
      </c>
      <c r="J26" s="7"/>
      <c r="K26" s="11" t="n">
        <f aca="false">VLOOKUP($D26,Категории!$A$5:$C$17,2,FALSE())</f>
        <v>60</v>
      </c>
    </row>
    <row r="27" customFormat="false" ht="15" hidden="false" customHeight="false" outlineLevel="0" collapsed="false">
      <c r="A27" s="5" t="n">
        <v>1</v>
      </c>
      <c r="B27" s="6" t="s">
        <v>53</v>
      </c>
      <c r="C27" s="7" t="s">
        <v>26</v>
      </c>
      <c r="D27" s="8" t="s">
        <v>27</v>
      </c>
      <c r="E27" s="9" t="s">
        <v>14</v>
      </c>
      <c r="F27" s="10" t="n">
        <f aca="false">IF($E27="",$K27,MAX($K27,INDEX($K$6:$K$225,MATCH($E27,$B$6:$B$225,0))))</f>
        <v>65</v>
      </c>
      <c r="G27" s="7" t="str">
        <f aca="false">IF($E27="",VLOOKUP($D27,Категории!$A$5:$C$17,3,FALSE()),"п. 21 — по пом. "&amp;$E27)</f>
        <v>п. 21 — по пом. 1</v>
      </c>
      <c r="H27" s="5" t="n">
        <f aca="false">MAX($F27+15,65)</f>
        <v>80</v>
      </c>
      <c r="I27" s="7" t="str">
        <f aca="false">IF($F27&lt;=65,"упрощённая оценка (п. 6.11.3)","нужен расчёт (прил. В / ПО изготовителя)")</f>
        <v>упрощённая оценка (п. 6.11.3)</v>
      </c>
      <c r="J27" s="7" t="s">
        <v>54</v>
      </c>
      <c r="K27" s="11" t="n">
        <f aca="false">VLOOKUP($D27,Категории!$A$5:$C$17,2,FALSE())</f>
        <v>60</v>
      </c>
    </row>
    <row r="28" customFormat="false" ht="15" hidden="false" customHeight="false" outlineLevel="0" collapsed="false">
      <c r="A28" s="5" t="n">
        <v>1</v>
      </c>
      <c r="B28" s="6" t="s">
        <v>55</v>
      </c>
      <c r="C28" s="7" t="s">
        <v>26</v>
      </c>
      <c r="D28" s="8" t="s">
        <v>27</v>
      </c>
      <c r="E28" s="9"/>
      <c r="F28" s="10" t="n">
        <f aca="false">IF($E28="",$K28,MAX($K28,INDEX($K$6:$K$225,MATCH($E28,$B$6:$B$225,0))))</f>
        <v>60</v>
      </c>
      <c r="G28" s="7" t="str">
        <f aca="false">IF($E28="",VLOOKUP($D28,Категории!$A$5:$C$17,3,FALSE()),"п. 21 — по пом. "&amp;$E28)</f>
        <v>п. 21</v>
      </c>
      <c r="H28" s="5" t="n">
        <f aca="false">MAX($F28+15,65)</f>
        <v>75</v>
      </c>
      <c r="I28" s="7" t="str">
        <f aca="false">IF($F28&lt;=65,"упрощённая оценка (п. 6.11.3)","нужен расчёт (прил. В / ПО изготовителя)")</f>
        <v>упрощённая оценка (п. 6.11.3)</v>
      </c>
      <c r="J28" s="7"/>
      <c r="K28" s="11" t="n">
        <f aca="false">VLOOKUP($D28,Категории!$A$5:$C$17,2,FALSE())</f>
        <v>60</v>
      </c>
    </row>
    <row r="29" customFormat="false" ht="15" hidden="false" customHeight="false" outlineLevel="0" collapsed="false">
      <c r="A29" s="5" t="n">
        <v>1</v>
      </c>
      <c r="B29" s="6" t="s">
        <v>56</v>
      </c>
      <c r="C29" s="7" t="s">
        <v>47</v>
      </c>
      <c r="D29" s="8" t="s">
        <v>48</v>
      </c>
      <c r="E29" s="9"/>
      <c r="F29" s="10" t="n">
        <f aca="false">IF($E29="",$K29,MAX($K29,INDEX($K$6:$K$225,MATCH($E29,$B$6:$B$225,0))))</f>
        <v>60</v>
      </c>
      <c r="G29" s="7" t="str">
        <f aca="false">IF($E29="",VLOOKUP($D29,Категории!$A$5:$C$17,3,FALSE()),"п. 21 — по пом. "&amp;$E29)</f>
        <v>п. 6</v>
      </c>
      <c r="H29" s="5" t="n">
        <f aca="false">MAX($F29+15,65)</f>
        <v>75</v>
      </c>
      <c r="I29" s="7" t="str">
        <f aca="false">IF($F29&lt;=65,"упрощённая оценка (п. 6.11.3)","нужен расчёт (прил. В / ПО изготовителя)")</f>
        <v>упрощённая оценка (п. 6.11.3)</v>
      </c>
      <c r="J29" s="7"/>
      <c r="K29" s="11" t="n">
        <f aca="false">VLOOKUP($D29,Категории!$A$5:$C$17,2,FALSE())</f>
        <v>60</v>
      </c>
    </row>
    <row r="30" customFormat="false" ht="15" hidden="false" customHeight="false" outlineLevel="0" collapsed="false">
      <c r="A30" s="5" t="n">
        <v>1</v>
      </c>
      <c r="B30" s="6" t="s">
        <v>57</v>
      </c>
      <c r="C30" s="7" t="s">
        <v>47</v>
      </c>
      <c r="D30" s="8" t="s">
        <v>48</v>
      </c>
      <c r="E30" s="9"/>
      <c r="F30" s="10" t="n">
        <f aca="false">IF($E30="",$K30,MAX($K30,INDEX($K$6:$K$225,MATCH($E30,$B$6:$B$225,0))))</f>
        <v>60</v>
      </c>
      <c r="G30" s="7" t="str">
        <f aca="false">IF($E30="",VLOOKUP($D30,Категории!$A$5:$C$17,3,FALSE()),"п. 21 — по пом. "&amp;$E30)</f>
        <v>п. 6</v>
      </c>
      <c r="H30" s="5" t="n">
        <f aca="false">MAX($F30+15,65)</f>
        <v>75</v>
      </c>
      <c r="I30" s="7" t="str">
        <f aca="false">IF($F30&lt;=65,"упрощённая оценка (п. 6.11.3)","нужен расчёт (прил. В / ПО изготовителя)")</f>
        <v>упрощённая оценка (п. 6.11.3)</v>
      </c>
      <c r="J30" s="7"/>
      <c r="K30" s="11" t="n">
        <f aca="false">VLOOKUP($D30,Категории!$A$5:$C$17,2,FALSE())</f>
        <v>60</v>
      </c>
    </row>
    <row r="31" customFormat="false" ht="15" hidden="false" customHeight="false" outlineLevel="0" collapsed="false">
      <c r="A31" s="5" t="n">
        <v>1</v>
      </c>
      <c r="B31" s="6" t="s">
        <v>58</v>
      </c>
      <c r="C31" s="7" t="s">
        <v>47</v>
      </c>
      <c r="D31" s="8" t="s">
        <v>48</v>
      </c>
      <c r="E31" s="9"/>
      <c r="F31" s="10" t="n">
        <f aca="false">IF($E31="",$K31,MAX($K31,INDEX($K$6:$K$225,MATCH($E31,$B$6:$B$225,0))))</f>
        <v>60</v>
      </c>
      <c r="G31" s="7" t="str">
        <f aca="false">IF($E31="",VLOOKUP($D31,Категории!$A$5:$C$17,3,FALSE()),"п. 21 — по пом. "&amp;$E31)</f>
        <v>п. 6</v>
      </c>
      <c r="H31" s="5" t="n">
        <f aca="false">MAX($F31+15,65)</f>
        <v>75</v>
      </c>
      <c r="I31" s="7" t="str">
        <f aca="false">IF($F31&lt;=65,"упрощённая оценка (п. 6.11.3)","нужен расчёт (прил. В / ПО изготовителя)")</f>
        <v>упрощённая оценка (п. 6.11.3)</v>
      </c>
      <c r="J31" s="7"/>
      <c r="K31" s="11" t="n">
        <f aca="false">VLOOKUP($D31,Категории!$A$5:$C$17,2,FALSE())</f>
        <v>60</v>
      </c>
    </row>
    <row r="32" customFormat="false" ht="15" hidden="false" customHeight="false" outlineLevel="0" collapsed="false">
      <c r="A32" s="5" t="n">
        <v>1</v>
      </c>
      <c r="B32" s="6" t="s">
        <v>59</v>
      </c>
      <c r="C32" s="7" t="s">
        <v>47</v>
      </c>
      <c r="D32" s="8" t="s">
        <v>48</v>
      </c>
      <c r="E32" s="9"/>
      <c r="F32" s="10" t="n">
        <f aca="false">IF($E32="",$K32,MAX($K32,INDEX($K$6:$K$225,MATCH($E32,$B$6:$B$225,0))))</f>
        <v>60</v>
      </c>
      <c r="G32" s="7" t="str">
        <f aca="false">IF($E32="",VLOOKUP($D32,Категории!$A$5:$C$17,3,FALSE()),"п. 21 — по пом. "&amp;$E32)</f>
        <v>п. 6</v>
      </c>
      <c r="H32" s="5" t="n">
        <f aca="false">MAX($F32+15,65)</f>
        <v>75</v>
      </c>
      <c r="I32" s="7" t="str">
        <f aca="false">IF($F32&lt;=65,"упрощённая оценка (п. 6.11.3)","нужен расчёт (прил. В / ПО изготовителя)")</f>
        <v>упрощённая оценка (п. 6.11.3)</v>
      </c>
      <c r="J32" s="7"/>
      <c r="K32" s="11" t="n">
        <f aca="false">VLOOKUP($D32,Категории!$A$5:$C$17,2,FALSE())</f>
        <v>60</v>
      </c>
    </row>
    <row r="33" customFormat="false" ht="15" hidden="false" customHeight="false" outlineLevel="0" collapsed="false">
      <c r="A33" s="5" t="n">
        <v>1</v>
      </c>
      <c r="B33" s="6" t="s">
        <v>60</v>
      </c>
      <c r="C33" s="7" t="s">
        <v>26</v>
      </c>
      <c r="D33" s="8" t="s">
        <v>27</v>
      </c>
      <c r="E33" s="9"/>
      <c r="F33" s="10" t="n">
        <f aca="false">IF($E33="",$K33,MAX($K33,INDEX($K$6:$K$225,MATCH($E33,$B$6:$B$225,0))))</f>
        <v>60</v>
      </c>
      <c r="G33" s="7" t="str">
        <f aca="false">IF($E33="",VLOOKUP($D33,Категории!$A$5:$C$17,3,FALSE()),"п. 21 — по пом. "&amp;$E33)</f>
        <v>п. 21</v>
      </c>
      <c r="H33" s="5" t="n">
        <f aca="false">MAX($F33+15,65)</f>
        <v>75</v>
      </c>
      <c r="I33" s="7" t="str">
        <f aca="false">IF($F33&lt;=65,"упрощённая оценка (п. 6.11.3)","нужен расчёт (прил. В / ПО изготовителя)")</f>
        <v>упрощённая оценка (п. 6.11.3)</v>
      </c>
      <c r="J33" s="7"/>
      <c r="K33" s="11" t="n">
        <f aca="false">VLOOKUP($D33,Категории!$A$5:$C$17,2,FALSE())</f>
        <v>60</v>
      </c>
    </row>
    <row r="34" customFormat="false" ht="15" hidden="false" customHeight="false" outlineLevel="0" collapsed="false">
      <c r="A34" s="5" t="n">
        <v>1</v>
      </c>
      <c r="B34" s="6" t="s">
        <v>61</v>
      </c>
      <c r="C34" s="7" t="s">
        <v>51</v>
      </c>
      <c r="D34" s="8" t="s">
        <v>48</v>
      </c>
      <c r="E34" s="9"/>
      <c r="F34" s="10" t="n">
        <f aca="false">IF($E34="",$K34,MAX($K34,INDEX($K$6:$K$225,MATCH($E34,$B$6:$B$225,0))))</f>
        <v>60</v>
      </c>
      <c r="G34" s="7" t="str">
        <f aca="false">IF($E34="",VLOOKUP($D34,Категории!$A$5:$C$17,3,FALSE()),"п. 21 — по пом. "&amp;$E34)</f>
        <v>п. 6</v>
      </c>
      <c r="H34" s="5" t="n">
        <f aca="false">MAX($F34+15,65)</f>
        <v>75</v>
      </c>
      <c r="I34" s="7" t="str">
        <f aca="false">IF($F34&lt;=65,"упрощённая оценка (п. 6.11.3)","нужен расчёт (прил. В / ПО изготовителя)")</f>
        <v>упрощённая оценка (п. 6.11.3)</v>
      </c>
      <c r="J34" s="7"/>
      <c r="K34" s="11" t="n">
        <f aca="false">VLOOKUP($D34,Категории!$A$5:$C$17,2,FALSE())</f>
        <v>60</v>
      </c>
    </row>
    <row r="35" customFormat="false" ht="23.85" hidden="false" customHeight="false" outlineLevel="0" collapsed="false">
      <c r="A35" s="5" t="n">
        <v>1</v>
      </c>
      <c r="B35" s="6" t="s">
        <v>62</v>
      </c>
      <c r="C35" s="7" t="s">
        <v>63</v>
      </c>
      <c r="D35" s="8" t="s">
        <v>64</v>
      </c>
      <c r="E35" s="9"/>
      <c r="F35" s="10" t="n">
        <f aca="false">IF($E35="",$K35,MAX($K35,INDEX($K$6:$K$225,MATCH($E35,$B$6:$B$225,0))))</f>
        <v>70</v>
      </c>
      <c r="G35" s="7" t="str">
        <f aca="false">IF($E35="",VLOOKUP($D35,Категории!$A$5:$C$17,3,FALSE()),"п. 21 — по пом. "&amp;$E35)</f>
        <v>п. 16</v>
      </c>
      <c r="H35" s="5" t="n">
        <f aca="false">MAX($F35+15,65)</f>
        <v>85</v>
      </c>
      <c r="I35" s="7" t="str">
        <f aca="false">IF($F35&lt;=65,"упрощённая оценка (п. 6.11.3)","нужен расчёт (прил. В / ПО изготовителя)")</f>
        <v>нужен расчёт (прил. В / ПО изготовителя)</v>
      </c>
      <c r="J35" s="7" t="s">
        <v>65</v>
      </c>
      <c r="K35" s="11" t="n">
        <f aca="false">VLOOKUP($D35,Категории!$A$5:$C$17,2,FALSE())</f>
        <v>70</v>
      </c>
    </row>
    <row r="36" customFormat="false" ht="23.85" hidden="false" customHeight="false" outlineLevel="0" collapsed="false">
      <c r="A36" s="5" t="n">
        <v>1</v>
      </c>
      <c r="B36" s="6" t="s">
        <v>66</v>
      </c>
      <c r="C36" s="7" t="s">
        <v>67</v>
      </c>
      <c r="D36" s="8" t="s">
        <v>68</v>
      </c>
      <c r="E36" s="9"/>
      <c r="F36" s="10" t="n">
        <f aca="false">IF($E36="",$K36,MAX($K36,INDEX($K$6:$K$225,MATCH($E36,$B$6:$B$225,0))))</f>
        <v>70</v>
      </c>
      <c r="G36" s="7" t="str">
        <f aca="false">IF($E36="",VLOOKUP($D36,Категории!$A$5:$C$17,3,FALSE()),"п. 21 — по пом. "&amp;$E36)</f>
        <v>п. 2</v>
      </c>
      <c r="H36" s="5" t="n">
        <f aca="false">MAX($F36+15,65)</f>
        <v>85</v>
      </c>
      <c r="I36" s="7" t="str">
        <f aca="false">IF($F36&lt;=65,"упрощённая оценка (п. 6.11.3)","нужен расчёт (прил. В / ПО изготовителя)")</f>
        <v>нужен расчёт (прил. В / ПО изготовителя)</v>
      </c>
      <c r="J36" s="7" t="s">
        <v>69</v>
      </c>
      <c r="K36" s="11" t="n">
        <f aca="false">VLOOKUP($D36,Категории!$A$5:$C$17,2,FALSE())</f>
        <v>70</v>
      </c>
    </row>
    <row r="37" customFormat="false" ht="23.85" hidden="false" customHeight="false" outlineLevel="0" collapsed="false">
      <c r="A37" s="5" t="n">
        <v>1</v>
      </c>
      <c r="B37" s="6" t="s">
        <v>70</v>
      </c>
      <c r="C37" s="7" t="s">
        <v>26</v>
      </c>
      <c r="D37" s="8" t="s">
        <v>27</v>
      </c>
      <c r="E37" s="9" t="s">
        <v>62</v>
      </c>
      <c r="F37" s="10" t="n">
        <f aca="false">IF($E37="",$K37,MAX($K37,INDEX($K$6:$K$225,MATCH($E37,$B$6:$B$225,0))))</f>
        <v>70</v>
      </c>
      <c r="G37" s="7" t="str">
        <f aca="false">IF($E37="",VLOOKUP($D37,Категории!$A$5:$C$17,3,FALSE()),"п. 21 — по пом. "&amp;$E37)</f>
        <v>п. 21 — по пом. 30</v>
      </c>
      <c r="H37" s="5" t="n">
        <f aca="false">MAX($F37+15,65)</f>
        <v>85</v>
      </c>
      <c r="I37" s="7" t="str">
        <f aca="false">IF($F37&lt;=65,"упрощённая оценка (п. 6.11.3)","нужен расчёт (прил. В / ПО изготовителя)")</f>
        <v>нужен расчёт (прил. В / ПО изготовителя)</v>
      </c>
      <c r="J37" s="7" t="s">
        <v>71</v>
      </c>
      <c r="K37" s="11" t="n">
        <f aca="false">VLOOKUP($D37,Категории!$A$5:$C$17,2,FALSE())</f>
        <v>60</v>
      </c>
    </row>
    <row r="38" customFormat="false" ht="15" hidden="false" customHeight="false" outlineLevel="0" collapsed="false">
      <c r="A38" s="5" t="n">
        <v>1</v>
      </c>
      <c r="B38" s="6" t="s">
        <v>72</v>
      </c>
      <c r="C38" s="7" t="s">
        <v>73</v>
      </c>
      <c r="D38" s="8" t="s">
        <v>27</v>
      </c>
      <c r="E38" s="9"/>
      <c r="F38" s="10" t="n">
        <f aca="false">IF($E38="",$K38,MAX($K38,INDEX($K$6:$K$225,MATCH($E38,$B$6:$B$225,0))))</f>
        <v>60</v>
      </c>
      <c r="G38" s="7" t="str">
        <f aca="false">IF($E38="",VLOOKUP($D38,Категории!$A$5:$C$17,3,FALSE()),"п. 21 — по пом. "&amp;$E38)</f>
        <v>п. 21</v>
      </c>
      <c r="H38" s="5" t="n">
        <f aca="false">MAX($F38+15,65)</f>
        <v>75</v>
      </c>
      <c r="I38" s="7" t="str">
        <f aca="false">IF($F38&lt;=65,"упрощённая оценка (п. 6.11.3)","нужен расчёт (прил. В / ПО изготовителя)")</f>
        <v>упрощённая оценка (п. 6.11.3)</v>
      </c>
      <c r="J38" s="7" t="s">
        <v>74</v>
      </c>
      <c r="K38" s="11" t="n">
        <f aca="false">VLOOKUP($D38,Категории!$A$5:$C$17,2,FALSE())</f>
        <v>60</v>
      </c>
    </row>
    <row r="39" customFormat="false" ht="15" hidden="false" customHeight="false" outlineLevel="0" collapsed="false">
      <c r="A39" s="5" t="n">
        <v>1</v>
      </c>
      <c r="B39" s="6" t="s">
        <v>75</v>
      </c>
      <c r="C39" s="7" t="s">
        <v>26</v>
      </c>
      <c r="D39" s="8" t="s">
        <v>27</v>
      </c>
      <c r="E39" s="9"/>
      <c r="F39" s="10" t="n">
        <f aca="false">IF($E39="",$K39,MAX($K39,INDEX($K$6:$K$225,MATCH($E39,$B$6:$B$225,0))))</f>
        <v>60</v>
      </c>
      <c r="G39" s="7" t="str">
        <f aca="false">IF($E39="",VLOOKUP($D39,Категории!$A$5:$C$17,3,FALSE()),"п. 21 — по пом. "&amp;$E39)</f>
        <v>п. 21</v>
      </c>
      <c r="H39" s="5" t="n">
        <f aca="false">MAX($F39+15,65)</f>
        <v>75</v>
      </c>
      <c r="I39" s="7" t="str">
        <f aca="false">IF($F39&lt;=65,"упрощённая оценка (п. 6.11.3)","нужен расчёт (прил. В / ПО изготовителя)")</f>
        <v>упрощённая оценка (п. 6.11.3)</v>
      </c>
      <c r="J39" s="7"/>
      <c r="K39" s="11" t="n">
        <f aca="false">VLOOKUP($D39,Категории!$A$5:$C$17,2,FALSE())</f>
        <v>60</v>
      </c>
    </row>
    <row r="40" customFormat="false" ht="23.85" hidden="false" customHeight="false" outlineLevel="0" collapsed="false">
      <c r="A40" s="5" t="n">
        <v>1</v>
      </c>
      <c r="B40" s="6" t="s">
        <v>76</v>
      </c>
      <c r="C40" s="7" t="s">
        <v>77</v>
      </c>
      <c r="D40" s="8" t="s">
        <v>16</v>
      </c>
      <c r="E40" s="9"/>
      <c r="F40" s="10" t="n">
        <f aca="false">IF($E40="",$K40,MAX($K40,INDEX($K$6:$K$225,MATCH($E40,$B$6:$B$225,0))))</f>
        <v>65</v>
      </c>
      <c r="G40" s="7" t="str">
        <f aca="false">IF($E40="",VLOOKUP($D40,Категории!$A$5:$C$17,3,FALSE()),"п. 21 — по пом. "&amp;$E40)</f>
        <v>п. 18 (тир, раздевалки — по аналогии)</v>
      </c>
      <c r="H40" s="5" t="n">
        <f aca="false">MAX($F40+15,65)</f>
        <v>80</v>
      </c>
      <c r="I40" s="7" t="str">
        <f aca="false">IF($F40&lt;=65,"упрощённая оценка (п. 6.11.3)","нужен расчёт (прил. В / ПО изготовителя)")</f>
        <v>упрощённая оценка (п. 6.11.3)</v>
      </c>
      <c r="J40" s="7"/>
      <c r="K40" s="11" t="n">
        <f aca="false">VLOOKUP($D40,Категории!$A$5:$C$17,2,FALSE())</f>
        <v>65</v>
      </c>
    </row>
    <row r="41" customFormat="false" ht="15" hidden="false" customHeight="false" outlineLevel="0" collapsed="false">
      <c r="A41" s="5" t="n">
        <v>1</v>
      </c>
      <c r="B41" s="6" t="s">
        <v>78</v>
      </c>
      <c r="C41" s="7" t="s">
        <v>34</v>
      </c>
      <c r="D41" s="8" t="s">
        <v>27</v>
      </c>
      <c r="E41" s="9"/>
      <c r="F41" s="10" t="n">
        <f aca="false">IF($E41="",$K41,MAX($K41,INDEX($K$6:$K$225,MATCH($E41,$B$6:$B$225,0))))</f>
        <v>60</v>
      </c>
      <c r="G41" s="7" t="str">
        <f aca="false">IF($E41="",VLOOKUP($D41,Категории!$A$5:$C$17,3,FALSE()),"п. 21 — по пом. "&amp;$E41)</f>
        <v>п. 21</v>
      </c>
      <c r="H41" s="5" t="n">
        <f aca="false">MAX($F41+15,65)</f>
        <v>75</v>
      </c>
      <c r="I41" s="7" t="str">
        <f aca="false">IF($F41&lt;=65,"упрощённая оценка (п. 6.11.3)","нужен расчёт (прил. В / ПО изготовителя)")</f>
        <v>упрощённая оценка (п. 6.11.3)</v>
      </c>
      <c r="J41" s="7"/>
      <c r="K41" s="11" t="n">
        <f aca="false">VLOOKUP($D41,Категории!$A$5:$C$17,2,FALSE())</f>
        <v>60</v>
      </c>
    </row>
    <row r="42" customFormat="false" ht="15" hidden="false" customHeight="false" outlineLevel="0" collapsed="false">
      <c r="A42" s="5" t="n">
        <v>1</v>
      </c>
      <c r="B42" s="6" t="s">
        <v>79</v>
      </c>
      <c r="C42" s="7" t="s">
        <v>26</v>
      </c>
      <c r="D42" s="8" t="s">
        <v>27</v>
      </c>
      <c r="E42" s="9" t="s">
        <v>76</v>
      </c>
      <c r="F42" s="10" t="n">
        <f aca="false">IF($E42="",$K42,MAX($K42,INDEX($K$6:$K$225,MATCH($E42,$B$6:$B$225,0))))</f>
        <v>65</v>
      </c>
      <c r="G42" s="7" t="str">
        <f aca="false">IF($E42="",VLOOKUP($D42,Категории!$A$5:$C$17,3,FALSE()),"п. 21 — по пом. "&amp;$E42)</f>
        <v>п. 21 — по пом. 36</v>
      </c>
      <c r="H42" s="5" t="n">
        <f aca="false">MAX($F42+15,65)</f>
        <v>80</v>
      </c>
      <c r="I42" s="7" t="str">
        <f aca="false">IF($F42&lt;=65,"упрощённая оценка (п. 6.11.3)","нужен расчёт (прил. В / ПО изготовителя)")</f>
        <v>упрощённая оценка (п. 6.11.3)</v>
      </c>
      <c r="J42" s="7" t="s">
        <v>80</v>
      </c>
      <c r="K42" s="11" t="n">
        <f aca="false">VLOOKUP($D42,Категории!$A$5:$C$17,2,FALSE())</f>
        <v>60</v>
      </c>
    </row>
    <row r="43" customFormat="false" ht="15" hidden="false" customHeight="false" outlineLevel="0" collapsed="false">
      <c r="A43" s="5" t="n">
        <v>1</v>
      </c>
      <c r="B43" s="6" t="s">
        <v>81</v>
      </c>
      <c r="C43" s="7" t="s">
        <v>26</v>
      </c>
      <c r="D43" s="8" t="s">
        <v>27</v>
      </c>
      <c r="E43" s="9"/>
      <c r="F43" s="10" t="n">
        <f aca="false">IF($E43="",$K43,MAX($K43,INDEX($K$6:$K$225,MATCH($E43,$B$6:$B$225,0))))</f>
        <v>60</v>
      </c>
      <c r="G43" s="7" t="str">
        <f aca="false">IF($E43="",VLOOKUP($D43,Категории!$A$5:$C$17,3,FALSE()),"п. 21 — по пом. "&amp;$E43)</f>
        <v>п. 21</v>
      </c>
      <c r="H43" s="5" t="n">
        <f aca="false">MAX($F43+15,65)</f>
        <v>75</v>
      </c>
      <c r="I43" s="7" t="str">
        <f aca="false">IF($F43&lt;=65,"упрощённая оценка (п. 6.11.3)","нужен расчёт (прил. В / ПО изготовителя)")</f>
        <v>упрощённая оценка (п. 6.11.3)</v>
      </c>
      <c r="J43" s="7"/>
      <c r="K43" s="11" t="n">
        <f aca="false">VLOOKUP($D43,Категории!$A$5:$C$17,2,FALSE())</f>
        <v>60</v>
      </c>
    </row>
    <row r="44" customFormat="false" ht="15" hidden="false" customHeight="false" outlineLevel="0" collapsed="false">
      <c r="A44" s="5" t="n">
        <v>1</v>
      </c>
      <c r="B44" s="6" t="s">
        <v>82</v>
      </c>
      <c r="C44" s="7" t="s">
        <v>26</v>
      </c>
      <c r="D44" s="8" t="s">
        <v>27</v>
      </c>
      <c r="E44" s="9"/>
      <c r="F44" s="10" t="n">
        <f aca="false">IF($E44="",$K44,MAX($K44,INDEX($K$6:$K$225,MATCH($E44,$B$6:$B$225,0))))</f>
        <v>60</v>
      </c>
      <c r="G44" s="7" t="str">
        <f aca="false">IF($E44="",VLOOKUP($D44,Категории!$A$5:$C$17,3,FALSE()),"п. 21 — по пом. "&amp;$E44)</f>
        <v>п. 21</v>
      </c>
      <c r="H44" s="5" t="n">
        <f aca="false">MAX($F44+15,65)</f>
        <v>75</v>
      </c>
      <c r="I44" s="7" t="str">
        <f aca="false">IF($F44&lt;=65,"упрощённая оценка (п. 6.11.3)","нужен расчёт (прил. В / ПО изготовителя)")</f>
        <v>упрощённая оценка (п. 6.11.3)</v>
      </c>
      <c r="J44" s="7"/>
      <c r="K44" s="11" t="n">
        <f aca="false">VLOOKUP($D44,Категории!$A$5:$C$17,2,FALSE())</f>
        <v>60</v>
      </c>
    </row>
    <row r="45" customFormat="false" ht="15" hidden="false" customHeight="false" outlineLevel="0" collapsed="false">
      <c r="A45" s="5" t="n">
        <v>1</v>
      </c>
      <c r="B45" s="6" t="s">
        <v>83</v>
      </c>
      <c r="C45" s="7" t="s">
        <v>26</v>
      </c>
      <c r="D45" s="8" t="s">
        <v>27</v>
      </c>
      <c r="E45" s="9"/>
      <c r="F45" s="10" t="n">
        <f aca="false">IF($E45="",$K45,MAX($K45,INDEX($K$6:$K$225,MATCH($E45,$B$6:$B$225,0))))</f>
        <v>60</v>
      </c>
      <c r="G45" s="7" t="str">
        <f aca="false">IF($E45="",VLOOKUP($D45,Категории!$A$5:$C$17,3,FALSE()),"п. 21 — по пом. "&amp;$E45)</f>
        <v>п. 21</v>
      </c>
      <c r="H45" s="5" t="n">
        <f aca="false">MAX($F45+15,65)</f>
        <v>75</v>
      </c>
      <c r="I45" s="7" t="str">
        <f aca="false">IF($F45&lt;=65,"упрощённая оценка (п. 6.11.3)","нужен расчёт (прил. В / ПО изготовителя)")</f>
        <v>упрощённая оценка (п. 6.11.3)</v>
      </c>
      <c r="J45" s="7"/>
      <c r="K45" s="11" t="n">
        <f aca="false">VLOOKUP($D45,Категории!$A$5:$C$17,2,FALSE())</f>
        <v>60</v>
      </c>
    </row>
    <row r="46" customFormat="false" ht="15" hidden="false" customHeight="false" outlineLevel="0" collapsed="false">
      <c r="A46" s="5" t="n">
        <v>1</v>
      </c>
      <c r="B46" s="6" t="s">
        <v>84</v>
      </c>
      <c r="C46" s="7" t="s">
        <v>26</v>
      </c>
      <c r="D46" s="8" t="s">
        <v>27</v>
      </c>
      <c r="E46" s="9"/>
      <c r="F46" s="10" t="n">
        <f aca="false">IF($E46="",$K46,MAX($K46,INDEX($K$6:$K$225,MATCH($E46,$B$6:$B$225,0))))</f>
        <v>60</v>
      </c>
      <c r="G46" s="7" t="str">
        <f aca="false">IF($E46="",VLOOKUP($D46,Категории!$A$5:$C$17,3,FALSE()),"п. 21 — по пом. "&amp;$E46)</f>
        <v>п. 21</v>
      </c>
      <c r="H46" s="5" t="n">
        <f aca="false">MAX($F46+15,65)</f>
        <v>75</v>
      </c>
      <c r="I46" s="7" t="str">
        <f aca="false">IF($F46&lt;=65,"упрощённая оценка (п. 6.11.3)","нужен расчёт (прил. В / ПО изготовителя)")</f>
        <v>упрощённая оценка (п. 6.11.3)</v>
      </c>
      <c r="J46" s="7"/>
      <c r="K46" s="11" t="n">
        <f aca="false">VLOOKUP($D46,Категории!$A$5:$C$17,2,FALSE())</f>
        <v>60</v>
      </c>
    </row>
    <row r="47" customFormat="false" ht="15" hidden="false" customHeight="false" outlineLevel="0" collapsed="false">
      <c r="A47" s="5" t="n">
        <v>1</v>
      </c>
      <c r="B47" s="6" t="s">
        <v>85</v>
      </c>
      <c r="C47" s="7" t="s">
        <v>86</v>
      </c>
      <c r="D47" s="8" t="s">
        <v>37</v>
      </c>
      <c r="E47" s="9"/>
      <c r="F47" s="10" t="n">
        <f aca="false">IF($E47="",$K47,MAX($K47,INDEX($K$6:$K$225,MATCH($E47,$B$6:$B$225,0))))</f>
        <v>60</v>
      </c>
      <c r="G47" s="7" t="str">
        <f aca="false">IF($E47="",VLOOKUP($D47,Категории!$A$5:$C$17,3,FALSE()),"п. 21 — по пом. "&amp;$E47)</f>
        <v>по аналогии с п. 6</v>
      </c>
      <c r="H47" s="5" t="n">
        <f aca="false">MAX($F47+15,65)</f>
        <v>75</v>
      </c>
      <c r="I47" s="7" t="str">
        <f aca="false">IF($F47&lt;=65,"упрощённая оценка (п. 6.11.3)","нужен расчёт (прил. В / ПО изготовителя)")</f>
        <v>упрощённая оценка (п. 6.11.3)</v>
      </c>
      <c r="J47" s="7"/>
      <c r="K47" s="11" t="n">
        <f aca="false">VLOOKUP($D47,Категории!$A$5:$C$17,2,FALSE())</f>
        <v>60</v>
      </c>
    </row>
    <row r="48" customFormat="false" ht="23.85" hidden="false" customHeight="false" outlineLevel="0" collapsed="false">
      <c r="A48" s="5" t="n">
        <v>1</v>
      </c>
      <c r="B48" s="6" t="s">
        <v>87</v>
      </c>
      <c r="C48" s="7" t="s">
        <v>88</v>
      </c>
      <c r="D48" s="8" t="s">
        <v>16</v>
      </c>
      <c r="E48" s="9"/>
      <c r="F48" s="10" t="n">
        <f aca="false">IF($E48="",$K48,MAX($K48,INDEX($K$6:$K$225,MATCH($E48,$B$6:$B$225,0))))</f>
        <v>65</v>
      </c>
      <c r="G48" s="7" t="str">
        <f aca="false">IF($E48="",VLOOKUP($D48,Категории!$A$5:$C$17,3,FALSE()),"п. 21 — по пом. "&amp;$E48)</f>
        <v>п. 18 (тир, раздевалки — по аналогии)</v>
      </c>
      <c r="H48" s="5" t="n">
        <f aca="false">MAX($F48+15,65)</f>
        <v>80</v>
      </c>
      <c r="I48" s="7" t="str">
        <f aca="false">IF($F48&lt;=65,"упрощённая оценка (п. 6.11.3)","нужен расчёт (прил. В / ПО изготовителя)")</f>
        <v>упрощённая оценка (п. 6.11.3)</v>
      </c>
      <c r="J48" s="7"/>
      <c r="K48" s="11" t="n">
        <f aca="false">VLOOKUP($D48,Категории!$A$5:$C$17,2,FALSE())</f>
        <v>65</v>
      </c>
    </row>
    <row r="49" customFormat="false" ht="15" hidden="false" customHeight="false" outlineLevel="0" collapsed="false">
      <c r="A49" s="5" t="n">
        <v>1</v>
      </c>
      <c r="B49" s="6" t="s">
        <v>89</v>
      </c>
      <c r="C49" s="7" t="s">
        <v>90</v>
      </c>
      <c r="D49" s="8" t="s">
        <v>37</v>
      </c>
      <c r="E49" s="9"/>
      <c r="F49" s="10" t="n">
        <f aca="false">IF($E49="",$K49,MAX($K49,INDEX($K$6:$K$225,MATCH($E49,$B$6:$B$225,0))))</f>
        <v>60</v>
      </c>
      <c r="G49" s="7" t="str">
        <f aca="false">IF($E49="",VLOOKUP($D49,Категории!$A$5:$C$17,3,FALSE()),"п. 21 — по пом. "&amp;$E49)</f>
        <v>по аналогии с п. 6</v>
      </c>
      <c r="H49" s="5" t="n">
        <f aca="false">MAX($F49+15,65)</f>
        <v>75</v>
      </c>
      <c r="I49" s="7" t="str">
        <f aca="false">IF($F49&lt;=65,"упрощённая оценка (п. 6.11.3)","нужен расчёт (прил. В / ПО изготовителя)")</f>
        <v>упрощённая оценка (п. 6.11.3)</v>
      </c>
      <c r="J49" s="7"/>
      <c r="K49" s="11" t="n">
        <f aca="false">VLOOKUP($D49,Категории!$A$5:$C$17,2,FALSE())</f>
        <v>60</v>
      </c>
    </row>
    <row r="50" customFormat="false" ht="15" hidden="false" customHeight="false" outlineLevel="0" collapsed="false">
      <c r="A50" s="5" t="n">
        <v>1</v>
      </c>
      <c r="B50" s="6" t="s">
        <v>91</v>
      </c>
      <c r="C50" s="7" t="s">
        <v>26</v>
      </c>
      <c r="D50" s="8" t="s">
        <v>27</v>
      </c>
      <c r="E50" s="9" t="s">
        <v>92</v>
      </c>
      <c r="F50" s="10" t="n">
        <f aca="false">IF($E50="",$K50,MAX($K50,INDEX($K$6:$K$225,MATCH($E50,$B$6:$B$225,0))))</f>
        <v>65</v>
      </c>
      <c r="G50" s="7" t="str">
        <f aca="false">IF($E50="",VLOOKUP($D50,Категории!$A$5:$C$17,3,FALSE()),"п. 21 — по пом. "&amp;$E50)</f>
        <v>п. 21 — по пом. 66</v>
      </c>
      <c r="H50" s="5" t="n">
        <f aca="false">MAX($F50+15,65)</f>
        <v>80</v>
      </c>
      <c r="I50" s="7" t="str">
        <f aca="false">IF($F50&lt;=65,"упрощённая оценка (п. 6.11.3)","нужен расчёт (прил. В / ПО изготовителя)")</f>
        <v>упрощённая оценка (п. 6.11.3)</v>
      </c>
      <c r="J50" s="7" t="s">
        <v>93</v>
      </c>
      <c r="K50" s="11" t="n">
        <f aca="false">VLOOKUP($D50,Категории!$A$5:$C$17,2,FALSE())</f>
        <v>60</v>
      </c>
    </row>
    <row r="51" customFormat="false" ht="15" hidden="false" customHeight="false" outlineLevel="0" collapsed="false">
      <c r="A51" s="5" t="n">
        <v>1</v>
      </c>
      <c r="B51" s="6" t="s">
        <v>94</v>
      </c>
      <c r="C51" s="7" t="s">
        <v>26</v>
      </c>
      <c r="D51" s="8" t="s">
        <v>27</v>
      </c>
      <c r="E51" s="9" t="s">
        <v>87</v>
      </c>
      <c r="F51" s="10" t="n">
        <f aca="false">IF($E51="",$K51,MAX($K51,INDEX($K$6:$K$225,MATCH($E51,$B$6:$B$225,0))))</f>
        <v>65</v>
      </c>
      <c r="G51" s="7" t="str">
        <f aca="false">IF($E51="",VLOOKUP($D51,Категории!$A$5:$C$17,3,FALSE()),"п. 21 — по пом. "&amp;$E51)</f>
        <v>п. 21 — по пом. 44</v>
      </c>
      <c r="H51" s="5" t="n">
        <f aca="false">MAX($F51+15,65)</f>
        <v>80</v>
      </c>
      <c r="I51" s="7" t="str">
        <f aca="false">IF($F51&lt;=65,"упрощённая оценка (п. 6.11.3)","нужен расчёт (прил. В / ПО изготовителя)")</f>
        <v>упрощённая оценка (п. 6.11.3)</v>
      </c>
      <c r="J51" s="7" t="s">
        <v>95</v>
      </c>
      <c r="K51" s="11" t="n">
        <f aca="false">VLOOKUP($D51,Категории!$A$5:$C$17,2,FALSE())</f>
        <v>60</v>
      </c>
    </row>
    <row r="52" customFormat="false" ht="23.85" hidden="false" customHeight="false" outlineLevel="0" collapsed="false">
      <c r="A52" s="5" t="n">
        <v>1</v>
      </c>
      <c r="B52" s="6" t="s">
        <v>96</v>
      </c>
      <c r="C52" s="7" t="s">
        <v>77</v>
      </c>
      <c r="D52" s="8" t="s">
        <v>16</v>
      </c>
      <c r="E52" s="9"/>
      <c r="F52" s="10" t="n">
        <f aca="false">IF($E52="",$K52,MAX($K52,INDEX($K$6:$K$225,MATCH($E52,$B$6:$B$225,0))))</f>
        <v>65</v>
      </c>
      <c r="G52" s="7" t="str">
        <f aca="false">IF($E52="",VLOOKUP($D52,Категории!$A$5:$C$17,3,FALSE()),"п. 21 — по пом. "&amp;$E52)</f>
        <v>п. 18 (тир, раздевалки — по аналогии)</v>
      </c>
      <c r="H52" s="5" t="n">
        <f aca="false">MAX($F52+15,65)</f>
        <v>80</v>
      </c>
      <c r="I52" s="7" t="str">
        <f aca="false">IF($F52&lt;=65,"упрощённая оценка (п. 6.11.3)","нужен расчёт (прил. В / ПО изготовителя)")</f>
        <v>упрощённая оценка (п. 6.11.3)</v>
      </c>
      <c r="J52" s="7"/>
      <c r="K52" s="11" t="n">
        <f aca="false">VLOOKUP($D52,Категории!$A$5:$C$17,2,FALSE())</f>
        <v>65</v>
      </c>
    </row>
    <row r="53" customFormat="false" ht="15" hidden="false" customHeight="false" outlineLevel="0" collapsed="false">
      <c r="A53" s="5" t="n">
        <v>1</v>
      </c>
      <c r="B53" s="6" t="s">
        <v>97</v>
      </c>
      <c r="C53" s="7" t="s">
        <v>98</v>
      </c>
      <c r="D53" s="8" t="s">
        <v>99</v>
      </c>
      <c r="E53" s="9"/>
      <c r="F53" s="10" t="n">
        <f aca="false">IF($E53="",$K53,MAX($K53,INDEX($K$6:$K$225,MATCH($E53,$B$6:$B$225,0))))</f>
        <v>55</v>
      </c>
      <c r="G53" s="7" t="str">
        <f aca="false">IF($E53="",VLOOKUP($D53,Категории!$A$5:$C$17,3,FALSE()),"п. 21 — по пом. "&amp;$E53)</f>
        <v>п. 28</v>
      </c>
      <c r="H53" s="5" t="n">
        <f aca="false">MAX($F53+15,65)</f>
        <v>70</v>
      </c>
      <c r="I53" s="7" t="str">
        <f aca="false">IF($F53&lt;=65,"упрощённая оценка (п. 6.11.3)","нужен расчёт (прил. В / ПО изготовителя)")</f>
        <v>упрощённая оценка (п. 6.11.3)</v>
      </c>
      <c r="J53" s="7"/>
      <c r="K53" s="11" t="n">
        <f aca="false">VLOOKUP($D53,Категории!$A$5:$C$17,2,FALSE())</f>
        <v>55</v>
      </c>
    </row>
    <row r="54" customFormat="false" ht="15" hidden="false" customHeight="false" outlineLevel="0" collapsed="false">
      <c r="A54" s="5" t="n">
        <v>1</v>
      </c>
      <c r="B54" s="6" t="s">
        <v>100</v>
      </c>
      <c r="C54" s="7" t="s">
        <v>26</v>
      </c>
      <c r="D54" s="8" t="s">
        <v>27</v>
      </c>
      <c r="E54" s="9" t="s">
        <v>96</v>
      </c>
      <c r="F54" s="10" t="n">
        <f aca="false">IF($E54="",$K54,MAX($K54,INDEX($K$6:$K$225,MATCH($E54,$B$6:$B$225,0))))</f>
        <v>65</v>
      </c>
      <c r="G54" s="7" t="str">
        <f aca="false">IF($E54="",VLOOKUP($D54,Категории!$A$5:$C$17,3,FALSE()),"п. 21 — по пом. "&amp;$E54)</f>
        <v>п. 21 — по пом. 48</v>
      </c>
      <c r="H54" s="5" t="n">
        <f aca="false">MAX($F54+15,65)</f>
        <v>80</v>
      </c>
      <c r="I54" s="7" t="str">
        <f aca="false">IF($F54&lt;=65,"упрощённая оценка (п. 6.11.3)","нужен расчёт (прил. В / ПО изготовителя)")</f>
        <v>упрощённая оценка (п. 6.11.3)</v>
      </c>
      <c r="J54" s="7" t="s">
        <v>101</v>
      </c>
      <c r="K54" s="11" t="n">
        <f aca="false">VLOOKUP($D54,Категории!$A$5:$C$17,2,FALSE())</f>
        <v>60</v>
      </c>
    </row>
    <row r="55" customFormat="false" ht="15" hidden="false" customHeight="false" outlineLevel="0" collapsed="false">
      <c r="A55" s="5" t="n">
        <v>1</v>
      </c>
      <c r="B55" s="6" t="s">
        <v>102</v>
      </c>
      <c r="C55" s="7" t="s">
        <v>98</v>
      </c>
      <c r="D55" s="8" t="s">
        <v>99</v>
      </c>
      <c r="E55" s="9"/>
      <c r="F55" s="10" t="n">
        <f aca="false">IF($E55="",$K55,MAX($K55,INDEX($K$6:$K$225,MATCH($E55,$B$6:$B$225,0))))</f>
        <v>55</v>
      </c>
      <c r="G55" s="7" t="str">
        <f aca="false">IF($E55="",VLOOKUP($D55,Категории!$A$5:$C$17,3,FALSE()),"п. 21 — по пом. "&amp;$E55)</f>
        <v>п. 28</v>
      </c>
      <c r="H55" s="5" t="n">
        <f aca="false">MAX($F55+15,65)</f>
        <v>70</v>
      </c>
      <c r="I55" s="7" t="str">
        <f aca="false">IF($F55&lt;=65,"упрощённая оценка (п. 6.11.3)","нужен расчёт (прил. В / ПО изготовителя)")</f>
        <v>упрощённая оценка (п. 6.11.3)</v>
      </c>
      <c r="J55" s="7"/>
      <c r="K55" s="11" t="n">
        <f aca="false">VLOOKUP($D55,Категории!$A$5:$C$17,2,FALSE())</f>
        <v>55</v>
      </c>
    </row>
    <row r="56" customFormat="false" ht="23.85" hidden="false" customHeight="false" outlineLevel="0" collapsed="false">
      <c r="A56" s="5" t="n">
        <v>1</v>
      </c>
      <c r="B56" s="6" t="s">
        <v>103</v>
      </c>
      <c r="C56" s="7" t="s">
        <v>77</v>
      </c>
      <c r="D56" s="8" t="s">
        <v>16</v>
      </c>
      <c r="E56" s="9"/>
      <c r="F56" s="10" t="n">
        <f aca="false">IF($E56="",$K56,MAX($K56,INDEX($K$6:$K$225,MATCH($E56,$B$6:$B$225,0))))</f>
        <v>65</v>
      </c>
      <c r="G56" s="7" t="str">
        <f aca="false">IF($E56="",VLOOKUP($D56,Категории!$A$5:$C$17,3,FALSE()),"п. 21 — по пом. "&amp;$E56)</f>
        <v>п. 18 (тир, раздевалки — по аналогии)</v>
      </c>
      <c r="H56" s="5" t="n">
        <f aca="false">MAX($F56+15,65)</f>
        <v>80</v>
      </c>
      <c r="I56" s="7" t="str">
        <f aca="false">IF($F56&lt;=65,"упрощённая оценка (п. 6.11.3)","нужен расчёт (прил. В / ПО изготовителя)")</f>
        <v>упрощённая оценка (п. 6.11.3)</v>
      </c>
      <c r="J56" s="7"/>
      <c r="K56" s="11" t="n">
        <f aca="false">VLOOKUP($D56,Категории!$A$5:$C$17,2,FALSE())</f>
        <v>65</v>
      </c>
    </row>
    <row r="57" customFormat="false" ht="15" hidden="false" customHeight="false" outlineLevel="0" collapsed="false">
      <c r="A57" s="5" t="n">
        <v>1</v>
      </c>
      <c r="B57" s="6" t="s">
        <v>104</v>
      </c>
      <c r="C57" s="7" t="s">
        <v>98</v>
      </c>
      <c r="D57" s="8" t="s">
        <v>99</v>
      </c>
      <c r="E57" s="9"/>
      <c r="F57" s="10" t="n">
        <f aca="false">IF($E57="",$K57,MAX($K57,INDEX($K$6:$K$225,MATCH($E57,$B$6:$B$225,0))))</f>
        <v>55</v>
      </c>
      <c r="G57" s="7" t="str">
        <f aca="false">IF($E57="",VLOOKUP($D57,Категории!$A$5:$C$17,3,FALSE()),"п. 21 — по пом. "&amp;$E57)</f>
        <v>п. 28</v>
      </c>
      <c r="H57" s="5" t="n">
        <f aca="false">MAX($F57+15,65)</f>
        <v>70</v>
      </c>
      <c r="I57" s="7" t="str">
        <f aca="false">IF($F57&lt;=65,"упрощённая оценка (п. 6.11.3)","нужен расчёт (прил. В / ПО изготовителя)")</f>
        <v>упрощённая оценка (п. 6.11.3)</v>
      </c>
      <c r="J57" s="7"/>
      <c r="K57" s="11" t="n">
        <f aca="false">VLOOKUP($D57,Категории!$A$5:$C$17,2,FALSE())</f>
        <v>55</v>
      </c>
    </row>
    <row r="58" customFormat="false" ht="15" hidden="false" customHeight="false" outlineLevel="0" collapsed="false">
      <c r="A58" s="5" t="n">
        <v>1</v>
      </c>
      <c r="B58" s="6" t="s">
        <v>105</v>
      </c>
      <c r="C58" s="7" t="s">
        <v>98</v>
      </c>
      <c r="D58" s="8" t="s">
        <v>99</v>
      </c>
      <c r="E58" s="9"/>
      <c r="F58" s="10" t="n">
        <f aca="false">IF($E58="",$K58,MAX($K58,INDEX($K$6:$K$225,MATCH($E58,$B$6:$B$225,0))))</f>
        <v>55</v>
      </c>
      <c r="G58" s="7" t="str">
        <f aca="false">IF($E58="",VLOOKUP($D58,Категории!$A$5:$C$17,3,FALSE()),"п. 21 — по пом. "&amp;$E58)</f>
        <v>п. 28</v>
      </c>
      <c r="H58" s="5" t="n">
        <f aca="false">MAX($F58+15,65)</f>
        <v>70</v>
      </c>
      <c r="I58" s="7" t="str">
        <f aca="false">IF($F58&lt;=65,"упрощённая оценка (п. 6.11.3)","нужен расчёт (прил. В / ПО изготовителя)")</f>
        <v>упрощённая оценка (п. 6.11.3)</v>
      </c>
      <c r="J58" s="7"/>
      <c r="K58" s="11" t="n">
        <f aca="false">VLOOKUP($D58,Категории!$A$5:$C$17,2,FALSE())</f>
        <v>55</v>
      </c>
    </row>
    <row r="59" customFormat="false" ht="15" hidden="false" customHeight="false" outlineLevel="0" collapsed="false">
      <c r="A59" s="5" t="n">
        <v>1</v>
      </c>
      <c r="B59" s="6" t="s">
        <v>106</v>
      </c>
      <c r="C59" s="7" t="s">
        <v>26</v>
      </c>
      <c r="D59" s="8" t="s">
        <v>27</v>
      </c>
      <c r="E59" s="9" t="s">
        <v>103</v>
      </c>
      <c r="F59" s="10" t="n">
        <f aca="false">IF($E59="",$K59,MAX($K59,INDEX($K$6:$K$225,MATCH($E59,$B$6:$B$225,0))))</f>
        <v>65</v>
      </c>
      <c r="G59" s="7" t="str">
        <f aca="false">IF($E59="",VLOOKUP($D59,Категории!$A$5:$C$17,3,FALSE()),"п. 21 — по пом. "&amp;$E59)</f>
        <v>п. 21 — по пом. 52</v>
      </c>
      <c r="H59" s="5" t="n">
        <f aca="false">MAX($F59+15,65)</f>
        <v>80</v>
      </c>
      <c r="I59" s="7" t="str">
        <f aca="false">IF($F59&lt;=65,"упрощённая оценка (п. 6.11.3)","нужен расчёт (прил. В / ПО изготовителя)")</f>
        <v>упрощённая оценка (п. 6.11.3)</v>
      </c>
      <c r="J59" s="7" t="s">
        <v>107</v>
      </c>
      <c r="K59" s="11" t="n">
        <f aca="false">VLOOKUP($D59,Категории!$A$5:$C$17,2,FALSE())</f>
        <v>60</v>
      </c>
    </row>
    <row r="60" customFormat="false" ht="15" hidden="false" customHeight="false" outlineLevel="0" collapsed="false">
      <c r="A60" s="5" t="n">
        <v>1</v>
      </c>
      <c r="B60" s="6" t="s">
        <v>108</v>
      </c>
      <c r="C60" s="7" t="s">
        <v>47</v>
      </c>
      <c r="D60" s="8" t="s">
        <v>48</v>
      </c>
      <c r="E60" s="9"/>
      <c r="F60" s="10" t="n">
        <f aca="false">IF($E60="",$K60,MAX($K60,INDEX($K$6:$K$225,MATCH($E60,$B$6:$B$225,0))))</f>
        <v>60</v>
      </c>
      <c r="G60" s="7" t="str">
        <f aca="false">IF($E60="",VLOOKUP($D60,Категории!$A$5:$C$17,3,FALSE()),"п. 21 — по пом. "&amp;$E60)</f>
        <v>п. 6</v>
      </c>
      <c r="H60" s="5" t="n">
        <f aca="false">MAX($F60+15,65)</f>
        <v>75</v>
      </c>
      <c r="I60" s="7" t="str">
        <f aca="false">IF($F60&lt;=65,"упрощённая оценка (п. 6.11.3)","нужен расчёт (прил. В / ПО изготовителя)")</f>
        <v>упрощённая оценка (п. 6.11.3)</v>
      </c>
      <c r="J60" s="7"/>
      <c r="K60" s="11" t="n">
        <f aca="false">VLOOKUP($D60,Категории!$A$5:$C$17,2,FALSE())</f>
        <v>60</v>
      </c>
    </row>
    <row r="61" customFormat="false" ht="15" hidden="false" customHeight="false" outlineLevel="0" collapsed="false">
      <c r="A61" s="5" t="n">
        <v>1</v>
      </c>
      <c r="B61" s="6" t="s">
        <v>109</v>
      </c>
      <c r="C61" s="7" t="s">
        <v>47</v>
      </c>
      <c r="D61" s="8" t="s">
        <v>48</v>
      </c>
      <c r="E61" s="9"/>
      <c r="F61" s="10" t="n">
        <f aca="false">IF($E61="",$K61,MAX($K61,INDEX($K$6:$K$225,MATCH($E61,$B$6:$B$225,0))))</f>
        <v>60</v>
      </c>
      <c r="G61" s="7" t="str">
        <f aca="false">IF($E61="",VLOOKUP($D61,Категории!$A$5:$C$17,3,FALSE()),"п. 21 — по пом. "&amp;$E61)</f>
        <v>п. 6</v>
      </c>
      <c r="H61" s="5" t="n">
        <f aca="false">MAX($F61+15,65)</f>
        <v>75</v>
      </c>
      <c r="I61" s="7" t="str">
        <f aca="false">IF($F61&lt;=65,"упрощённая оценка (п. 6.11.3)","нужен расчёт (прил. В / ПО изготовителя)")</f>
        <v>упрощённая оценка (п. 6.11.3)</v>
      </c>
      <c r="J61" s="7"/>
      <c r="K61" s="11" t="n">
        <f aca="false">VLOOKUP($D61,Категории!$A$5:$C$17,2,FALSE())</f>
        <v>60</v>
      </c>
    </row>
    <row r="62" customFormat="false" ht="15" hidden="false" customHeight="false" outlineLevel="0" collapsed="false">
      <c r="A62" s="5" t="n">
        <v>1</v>
      </c>
      <c r="B62" s="6" t="s">
        <v>110</v>
      </c>
      <c r="C62" s="7" t="s">
        <v>90</v>
      </c>
      <c r="D62" s="8" t="s">
        <v>37</v>
      </c>
      <c r="E62" s="9"/>
      <c r="F62" s="10" t="n">
        <f aca="false">IF($E62="",$K62,MAX($K62,INDEX($K$6:$K$225,MATCH($E62,$B$6:$B$225,0))))</f>
        <v>60</v>
      </c>
      <c r="G62" s="7" t="str">
        <f aca="false">IF($E62="",VLOOKUP($D62,Категории!$A$5:$C$17,3,FALSE()),"п. 21 — по пом. "&amp;$E62)</f>
        <v>по аналогии с п. 6</v>
      </c>
      <c r="H62" s="5" t="n">
        <f aca="false">MAX($F62+15,65)</f>
        <v>75</v>
      </c>
      <c r="I62" s="7" t="str">
        <f aca="false">IF($F62&lt;=65,"упрощённая оценка (п. 6.11.3)","нужен расчёт (прил. В / ПО изготовителя)")</f>
        <v>упрощённая оценка (п. 6.11.3)</v>
      </c>
      <c r="J62" s="7"/>
      <c r="K62" s="11" t="n">
        <f aca="false">VLOOKUP($D62,Категории!$A$5:$C$17,2,FALSE())</f>
        <v>60</v>
      </c>
    </row>
    <row r="63" customFormat="false" ht="15" hidden="false" customHeight="false" outlineLevel="0" collapsed="false">
      <c r="A63" s="5" t="n">
        <v>1</v>
      </c>
      <c r="B63" s="6" t="s">
        <v>111</v>
      </c>
      <c r="C63" s="7" t="s">
        <v>98</v>
      </c>
      <c r="D63" s="8" t="s">
        <v>99</v>
      </c>
      <c r="E63" s="9"/>
      <c r="F63" s="10" t="n">
        <f aca="false">IF($E63="",$K63,MAX($K63,INDEX($K$6:$K$225,MATCH($E63,$B$6:$B$225,0))))</f>
        <v>55</v>
      </c>
      <c r="G63" s="7" t="str">
        <f aca="false">IF($E63="",VLOOKUP($D63,Категории!$A$5:$C$17,3,FALSE()),"п. 21 — по пом. "&amp;$E63)</f>
        <v>п. 28</v>
      </c>
      <c r="H63" s="5" t="n">
        <f aca="false">MAX($F63+15,65)</f>
        <v>70</v>
      </c>
      <c r="I63" s="7" t="str">
        <f aca="false">IF($F63&lt;=65,"упрощённая оценка (п. 6.11.3)","нужен расчёт (прил. В / ПО изготовителя)")</f>
        <v>упрощённая оценка (п. 6.11.3)</v>
      </c>
      <c r="J63" s="7"/>
      <c r="K63" s="11" t="n">
        <f aca="false">VLOOKUP($D63,Категории!$A$5:$C$17,2,FALSE())</f>
        <v>55</v>
      </c>
    </row>
    <row r="64" customFormat="false" ht="23.85" hidden="false" customHeight="false" outlineLevel="0" collapsed="false">
      <c r="A64" s="5" t="n">
        <v>1</v>
      </c>
      <c r="B64" s="6" t="s">
        <v>112</v>
      </c>
      <c r="C64" s="7" t="s">
        <v>26</v>
      </c>
      <c r="D64" s="8" t="s">
        <v>27</v>
      </c>
      <c r="E64" s="9" t="s">
        <v>113</v>
      </c>
      <c r="F64" s="10" t="n">
        <f aca="false">IF($E64="",$K64,MAX($K64,INDEX($K$6:$K$225,MATCH($E64,$B$6:$B$225,0))))</f>
        <v>70</v>
      </c>
      <c r="G64" s="7" t="str">
        <f aca="false">IF($E64="",VLOOKUP($D64,Категории!$A$5:$C$17,3,FALSE()),"п. 21 — по пом. "&amp;$E64)</f>
        <v>п. 21 — по пом. 63</v>
      </c>
      <c r="H64" s="5" t="n">
        <f aca="false">MAX($F64+15,65)</f>
        <v>85</v>
      </c>
      <c r="I64" s="7" t="str">
        <f aca="false">IF($F64&lt;=65,"упрощённая оценка (п. 6.11.3)","нужен расчёт (прил. В / ПО изготовителя)")</f>
        <v>нужен расчёт (прил. В / ПО изготовителя)</v>
      </c>
      <c r="J64" s="7" t="s">
        <v>114</v>
      </c>
      <c r="K64" s="11" t="n">
        <f aca="false">VLOOKUP($D64,Категории!$A$5:$C$17,2,FALSE())</f>
        <v>60</v>
      </c>
    </row>
    <row r="65" customFormat="false" ht="15" hidden="false" customHeight="false" outlineLevel="0" collapsed="false">
      <c r="A65" s="5" t="n">
        <v>1</v>
      </c>
      <c r="B65" s="6" t="s">
        <v>115</v>
      </c>
      <c r="C65" s="7" t="s">
        <v>116</v>
      </c>
      <c r="D65" s="8" t="s">
        <v>27</v>
      </c>
      <c r="E65" s="9"/>
      <c r="F65" s="10" t="n">
        <f aca="false">IF($E65="",$K65,MAX($K65,INDEX($K$6:$K$225,MATCH($E65,$B$6:$B$225,0))))</f>
        <v>60</v>
      </c>
      <c r="G65" s="7" t="str">
        <f aca="false">IF($E65="",VLOOKUP($D65,Категории!$A$5:$C$17,3,FALSE()),"п. 21 — по пом. "&amp;$E65)</f>
        <v>п. 21</v>
      </c>
      <c r="H65" s="5" t="n">
        <f aca="false">MAX($F65+15,65)</f>
        <v>75</v>
      </c>
      <c r="I65" s="7" t="str">
        <f aca="false">IF($F65&lt;=65,"упрощённая оценка (п. 6.11.3)","нужен расчёт (прил. В / ПО изготовителя)")</f>
        <v>упрощённая оценка (п. 6.11.3)</v>
      </c>
      <c r="J65" s="7" t="s">
        <v>117</v>
      </c>
      <c r="K65" s="11" t="n">
        <f aca="false">VLOOKUP($D65,Категории!$A$5:$C$17,2,FALSE())</f>
        <v>60</v>
      </c>
    </row>
    <row r="66" customFormat="false" ht="15" hidden="false" customHeight="false" outlineLevel="0" collapsed="false">
      <c r="A66" s="5" t="n">
        <v>1</v>
      </c>
      <c r="B66" s="6" t="s">
        <v>118</v>
      </c>
      <c r="C66" s="7" t="s">
        <v>119</v>
      </c>
      <c r="D66" s="8" t="s">
        <v>37</v>
      </c>
      <c r="E66" s="9"/>
      <c r="F66" s="10" t="n">
        <f aca="false">IF($E66="",$K66,MAX($K66,INDEX($K$6:$K$225,MATCH($E66,$B$6:$B$225,0))))</f>
        <v>60</v>
      </c>
      <c r="G66" s="7" t="str">
        <f aca="false">IF($E66="",VLOOKUP($D66,Категории!$A$5:$C$17,3,FALSE()),"п. 21 — по пом. "&amp;$E66)</f>
        <v>по аналогии с п. 6</v>
      </c>
      <c r="H66" s="5" t="n">
        <f aca="false">MAX($F66+15,65)</f>
        <v>75</v>
      </c>
      <c r="I66" s="7" t="str">
        <f aca="false">IF($F66&lt;=65,"упрощённая оценка (п. 6.11.3)","нужен расчёт (прил. В / ПО изготовителя)")</f>
        <v>упрощённая оценка (п. 6.11.3)</v>
      </c>
      <c r="J66" s="7"/>
      <c r="K66" s="11" t="n">
        <f aca="false">VLOOKUP($D66,Категории!$A$5:$C$17,2,FALSE())</f>
        <v>60</v>
      </c>
    </row>
    <row r="67" customFormat="false" ht="23.85" hidden="false" customHeight="false" outlineLevel="0" collapsed="false">
      <c r="A67" s="5" t="n">
        <v>1</v>
      </c>
      <c r="B67" s="6" t="s">
        <v>113</v>
      </c>
      <c r="C67" s="7" t="s">
        <v>120</v>
      </c>
      <c r="D67" s="8" t="s">
        <v>121</v>
      </c>
      <c r="E67" s="9"/>
      <c r="F67" s="10" t="n">
        <f aca="false">IF($E67="",$K67,MAX($K67,INDEX($K$6:$K$225,MATCH($E67,$B$6:$B$225,0))))</f>
        <v>70</v>
      </c>
      <c r="G67" s="7" t="str">
        <f aca="false">IF($E67="",VLOOKUP($D67,Категории!$A$5:$C$17,3,FALSE()),"п. 21 — по пом. "&amp;$E67)</f>
        <v>по аналогии с п. 26</v>
      </c>
      <c r="H67" s="5" t="n">
        <f aca="false">MAX($F67+15,65)</f>
        <v>85</v>
      </c>
      <c r="I67" s="7" t="str">
        <f aca="false">IF($F67&lt;=65,"упрощённая оценка (п. 6.11.3)","нужен расчёт (прил. В / ПО изготовителя)")</f>
        <v>нужен расчёт (прил. В / ПО изготовителя)</v>
      </c>
      <c r="J67" s="7" t="s">
        <v>122</v>
      </c>
      <c r="K67" s="11" t="n">
        <f aca="false">VLOOKUP($D67,Категории!$A$5:$C$17,2,FALSE())</f>
        <v>70</v>
      </c>
    </row>
    <row r="68" customFormat="false" ht="23.85" hidden="false" customHeight="false" outlineLevel="0" collapsed="false">
      <c r="A68" s="5" t="n">
        <v>1</v>
      </c>
      <c r="B68" s="6" t="s">
        <v>123</v>
      </c>
      <c r="C68" s="7" t="s">
        <v>124</v>
      </c>
      <c r="D68" s="8" t="s">
        <v>121</v>
      </c>
      <c r="E68" s="9"/>
      <c r="F68" s="10" t="n">
        <f aca="false">IF($E68="",$K68,MAX($K68,INDEX($K$6:$K$225,MATCH($E68,$B$6:$B$225,0))))</f>
        <v>70</v>
      </c>
      <c r="G68" s="7" t="str">
        <f aca="false">IF($E68="",VLOOKUP($D68,Категории!$A$5:$C$17,3,FALSE()),"п. 21 — по пом. "&amp;$E68)</f>
        <v>по аналогии с п. 26</v>
      </c>
      <c r="H68" s="5" t="n">
        <f aca="false">MAX($F68+15,65)</f>
        <v>85</v>
      </c>
      <c r="I68" s="7" t="str">
        <f aca="false">IF($F68&lt;=65,"упрощённая оценка (п. 6.11.3)","нужен расчёт (прил. В / ПО изготовителя)")</f>
        <v>нужен расчёт (прил. В / ПО изготовителя)</v>
      </c>
      <c r="J68" s="7"/>
      <c r="K68" s="11" t="n">
        <f aca="false">VLOOKUP($D68,Категории!$A$5:$C$17,2,FALSE())</f>
        <v>70</v>
      </c>
    </row>
    <row r="69" customFormat="false" ht="15" hidden="false" customHeight="false" outlineLevel="0" collapsed="false">
      <c r="A69" s="5" t="n">
        <v>1</v>
      </c>
      <c r="B69" s="6" t="s">
        <v>125</v>
      </c>
      <c r="C69" s="7" t="s">
        <v>47</v>
      </c>
      <c r="D69" s="8" t="s">
        <v>48</v>
      </c>
      <c r="E69" s="9"/>
      <c r="F69" s="10" t="n">
        <f aca="false">IF($E69="",$K69,MAX($K69,INDEX($K$6:$K$225,MATCH($E69,$B$6:$B$225,0))))</f>
        <v>60</v>
      </c>
      <c r="G69" s="7" t="str">
        <f aca="false">IF($E69="",VLOOKUP($D69,Категории!$A$5:$C$17,3,FALSE()),"п. 21 — по пом. "&amp;$E69)</f>
        <v>п. 6</v>
      </c>
      <c r="H69" s="5" t="n">
        <f aca="false">MAX($F69+15,65)</f>
        <v>75</v>
      </c>
      <c r="I69" s="7" t="str">
        <f aca="false">IF($F69&lt;=65,"упрощённая оценка (п. 6.11.3)","нужен расчёт (прил. В / ПО изготовителя)")</f>
        <v>упрощённая оценка (п. 6.11.3)</v>
      </c>
      <c r="J69" s="7"/>
      <c r="K69" s="11" t="n">
        <f aca="false">VLOOKUP($D69,Категории!$A$5:$C$17,2,FALSE())</f>
        <v>60</v>
      </c>
    </row>
    <row r="70" customFormat="false" ht="15" hidden="false" customHeight="false" outlineLevel="0" collapsed="false">
      <c r="A70" s="5" t="n">
        <v>1</v>
      </c>
      <c r="B70" s="6" t="s">
        <v>92</v>
      </c>
      <c r="C70" s="7" t="s">
        <v>126</v>
      </c>
      <c r="D70" s="8" t="s">
        <v>127</v>
      </c>
      <c r="E70" s="9"/>
      <c r="F70" s="10" t="n">
        <f aca="false">IF($E70="",$K70,MAX($K70,INDEX($K$6:$K$225,MATCH($E70,$B$6:$B$225,0))))</f>
        <v>65</v>
      </c>
      <c r="G70" s="7" t="str">
        <f aca="false">IF($E70="",VLOOKUP($D70,Категории!$A$5:$C$17,3,FALSE()),"п. 21 — по пом. "&amp;$E70)</f>
        <v>п. 12</v>
      </c>
      <c r="H70" s="5" t="n">
        <f aca="false">MAX($F70+15,65)</f>
        <v>80</v>
      </c>
      <c r="I70" s="7" t="str">
        <f aca="false">IF($F70&lt;=65,"упрощённая оценка (п. 6.11.3)","нужен расчёт (прил. В / ПО изготовителя)")</f>
        <v>упрощённая оценка (п. 6.11.3)</v>
      </c>
      <c r="J70" s="7"/>
      <c r="K70" s="11" t="n">
        <f aca="false">VLOOKUP($D70,Категории!$A$5:$C$17,2,FALSE())</f>
        <v>65</v>
      </c>
    </row>
    <row r="71" customFormat="false" ht="15" hidden="false" customHeight="false" outlineLevel="0" collapsed="false">
      <c r="A71" s="5" t="n">
        <v>1</v>
      </c>
      <c r="B71" s="6" t="s">
        <v>128</v>
      </c>
      <c r="C71" s="7" t="s">
        <v>34</v>
      </c>
      <c r="D71" s="8" t="s">
        <v>27</v>
      </c>
      <c r="E71" s="9"/>
      <c r="F71" s="10" t="n">
        <f aca="false">IF($E71="",$K71,MAX($K71,INDEX($K$6:$K$225,MATCH($E71,$B$6:$B$225,0))))</f>
        <v>60</v>
      </c>
      <c r="G71" s="7" t="str">
        <f aca="false">IF($E71="",VLOOKUP($D71,Категории!$A$5:$C$17,3,FALSE()),"п. 21 — по пом. "&amp;$E71)</f>
        <v>п. 21</v>
      </c>
      <c r="H71" s="5" t="n">
        <f aca="false">MAX($F71+15,65)</f>
        <v>75</v>
      </c>
      <c r="I71" s="7" t="str">
        <f aca="false">IF($F71&lt;=65,"упрощённая оценка (п. 6.11.3)","нужен расчёт (прил. В / ПО изготовителя)")</f>
        <v>упрощённая оценка (п. 6.11.3)</v>
      </c>
      <c r="J71" s="7"/>
      <c r="K71" s="11" t="n">
        <f aca="false">VLOOKUP($D71,Категории!$A$5:$C$17,2,FALSE())</f>
        <v>60</v>
      </c>
    </row>
    <row r="72" customFormat="false" ht="15" hidden="false" customHeight="false" outlineLevel="0" collapsed="false">
      <c r="A72" s="5" t="n">
        <v>1</v>
      </c>
      <c r="B72" s="6" t="s">
        <v>129</v>
      </c>
      <c r="C72" s="7" t="s">
        <v>47</v>
      </c>
      <c r="D72" s="8" t="s">
        <v>48</v>
      </c>
      <c r="E72" s="9"/>
      <c r="F72" s="10" t="n">
        <f aca="false">IF($E72="",$K72,MAX($K72,INDEX($K$6:$K$225,MATCH($E72,$B$6:$B$225,0))))</f>
        <v>60</v>
      </c>
      <c r="G72" s="7" t="str">
        <f aca="false">IF($E72="",VLOOKUP($D72,Категории!$A$5:$C$17,3,FALSE()),"п. 21 — по пом. "&amp;$E72)</f>
        <v>п. 6</v>
      </c>
      <c r="H72" s="5" t="n">
        <f aca="false">MAX($F72+15,65)</f>
        <v>75</v>
      </c>
      <c r="I72" s="7" t="str">
        <f aca="false">IF($F72&lt;=65,"упрощённая оценка (п. 6.11.3)","нужен расчёт (прил. В / ПО изготовителя)")</f>
        <v>упрощённая оценка (п. 6.11.3)</v>
      </c>
      <c r="J72" s="7"/>
      <c r="K72" s="11" t="n">
        <f aca="false">VLOOKUP($D72,Категории!$A$5:$C$17,2,FALSE())</f>
        <v>60</v>
      </c>
    </row>
    <row r="73" customFormat="false" ht="15" hidden="false" customHeight="false" outlineLevel="0" collapsed="false">
      <c r="A73" s="5" t="n">
        <v>1</v>
      </c>
      <c r="B73" s="6" t="s">
        <v>130</v>
      </c>
      <c r="C73" s="7" t="s">
        <v>26</v>
      </c>
      <c r="D73" s="8" t="s">
        <v>27</v>
      </c>
      <c r="E73" s="9"/>
      <c r="F73" s="10" t="n">
        <f aca="false">IF($E73="",$K73,MAX($K73,INDEX($K$6:$K$225,MATCH($E73,$B$6:$B$225,0))))</f>
        <v>60</v>
      </c>
      <c r="G73" s="7" t="str">
        <f aca="false">IF($E73="",VLOOKUP($D73,Категории!$A$5:$C$17,3,FALSE()),"п. 21 — по пом. "&amp;$E73)</f>
        <v>п. 21</v>
      </c>
      <c r="H73" s="5" t="n">
        <f aca="false">MAX($F73+15,65)</f>
        <v>75</v>
      </c>
      <c r="I73" s="7" t="str">
        <f aca="false">IF($F73&lt;=65,"упрощённая оценка (п. 6.11.3)","нужен расчёт (прил. В / ПО изготовителя)")</f>
        <v>упрощённая оценка (п. 6.11.3)</v>
      </c>
      <c r="J73" s="7"/>
      <c r="K73" s="11" t="n">
        <f aca="false">VLOOKUP($D73,Категории!$A$5:$C$17,2,FALSE())</f>
        <v>60</v>
      </c>
    </row>
    <row r="74" customFormat="false" ht="15" hidden="false" customHeight="false" outlineLevel="0" collapsed="false">
      <c r="A74" s="5" t="n">
        <v>1</v>
      </c>
      <c r="B74" s="6" t="s">
        <v>131</v>
      </c>
      <c r="C74" s="7" t="s">
        <v>36</v>
      </c>
      <c r="D74" s="8" t="s">
        <v>37</v>
      </c>
      <c r="E74" s="9"/>
      <c r="F74" s="10" t="n">
        <f aca="false">IF($E74="",$K74,MAX($K74,INDEX($K$6:$K$225,MATCH($E74,$B$6:$B$225,0))))</f>
        <v>60</v>
      </c>
      <c r="G74" s="7" t="str">
        <f aca="false">IF($E74="",VLOOKUP($D74,Категории!$A$5:$C$17,3,FALSE()),"п. 21 — по пом. "&amp;$E74)</f>
        <v>по аналогии с п. 6</v>
      </c>
      <c r="H74" s="5" t="n">
        <f aca="false">MAX($F74+15,65)</f>
        <v>75</v>
      </c>
      <c r="I74" s="7" t="str">
        <f aca="false">IF($F74&lt;=65,"упрощённая оценка (п. 6.11.3)","нужен расчёт (прил. В / ПО изготовителя)")</f>
        <v>упрощённая оценка (п. 6.11.3)</v>
      </c>
      <c r="J74" s="7"/>
      <c r="K74" s="11" t="n">
        <f aca="false">VLOOKUP($D74,Категории!$A$5:$C$17,2,FALSE())</f>
        <v>60</v>
      </c>
    </row>
    <row r="75" customFormat="false" ht="15" hidden="false" customHeight="false" outlineLevel="0" collapsed="false">
      <c r="A75" s="5" t="n">
        <v>1</v>
      </c>
      <c r="B75" s="6" t="s">
        <v>132</v>
      </c>
      <c r="C75" s="7" t="s">
        <v>34</v>
      </c>
      <c r="D75" s="8" t="s">
        <v>27</v>
      </c>
      <c r="E75" s="9"/>
      <c r="F75" s="10" t="n">
        <f aca="false">IF($E75="",$K75,MAX($K75,INDEX($K$6:$K$225,MATCH($E75,$B$6:$B$225,0))))</f>
        <v>60</v>
      </c>
      <c r="G75" s="7" t="str">
        <f aca="false">IF($E75="",VLOOKUP($D75,Категории!$A$5:$C$17,3,FALSE()),"п. 21 — по пом. "&amp;$E75)</f>
        <v>п. 21</v>
      </c>
      <c r="H75" s="5" t="n">
        <f aca="false">MAX($F75+15,65)</f>
        <v>75</v>
      </c>
      <c r="I75" s="7" t="str">
        <f aca="false">IF($F75&lt;=65,"упрощённая оценка (п. 6.11.3)","нужен расчёт (прил. В / ПО изготовителя)")</f>
        <v>упрощённая оценка (п. 6.11.3)</v>
      </c>
      <c r="J75" s="7"/>
      <c r="K75" s="11" t="n">
        <f aca="false">VLOOKUP($D75,Категории!$A$5:$C$17,2,FALSE())</f>
        <v>60</v>
      </c>
    </row>
    <row r="76" customFormat="false" ht="15" hidden="false" customHeight="false" outlineLevel="0" collapsed="false">
      <c r="A76" s="5" t="n">
        <v>1</v>
      </c>
      <c r="B76" s="6" t="s">
        <v>133</v>
      </c>
      <c r="C76" s="7" t="s">
        <v>47</v>
      </c>
      <c r="D76" s="8" t="s">
        <v>48</v>
      </c>
      <c r="E76" s="9"/>
      <c r="F76" s="10" t="n">
        <f aca="false">IF($E76="",$K76,MAX($K76,INDEX($K$6:$K$225,MATCH($E76,$B$6:$B$225,0))))</f>
        <v>60</v>
      </c>
      <c r="G76" s="7" t="str">
        <f aca="false">IF($E76="",VLOOKUP($D76,Категории!$A$5:$C$17,3,FALSE()),"п. 21 — по пом. "&amp;$E76)</f>
        <v>п. 6</v>
      </c>
      <c r="H76" s="5" t="n">
        <f aca="false">MAX($F76+15,65)</f>
        <v>75</v>
      </c>
      <c r="I76" s="7" t="str">
        <f aca="false">IF($F76&lt;=65,"упрощённая оценка (п. 6.11.3)","нужен расчёт (прил. В / ПО изготовителя)")</f>
        <v>упрощённая оценка (п. 6.11.3)</v>
      </c>
      <c r="J76" s="7"/>
      <c r="K76" s="11" t="n">
        <f aca="false">VLOOKUP($D76,Категории!$A$5:$C$17,2,FALSE())</f>
        <v>60</v>
      </c>
    </row>
    <row r="77" customFormat="false" ht="15" hidden="false" customHeight="false" outlineLevel="0" collapsed="false">
      <c r="A77" s="5" t="n">
        <v>1</v>
      </c>
      <c r="B77" s="6" t="s">
        <v>134</v>
      </c>
      <c r="C77" s="7" t="s">
        <v>51</v>
      </c>
      <c r="D77" s="8" t="s">
        <v>48</v>
      </c>
      <c r="E77" s="9"/>
      <c r="F77" s="10" t="n">
        <f aca="false">IF($E77="",$K77,MAX($K77,INDEX($K$6:$K$225,MATCH($E77,$B$6:$B$225,0))))</f>
        <v>60</v>
      </c>
      <c r="G77" s="7" t="str">
        <f aca="false">IF($E77="",VLOOKUP($D77,Категории!$A$5:$C$17,3,FALSE()),"п. 21 — по пом. "&amp;$E77)</f>
        <v>п. 6</v>
      </c>
      <c r="H77" s="5" t="n">
        <f aca="false">MAX($F77+15,65)</f>
        <v>75</v>
      </c>
      <c r="I77" s="7" t="str">
        <f aca="false">IF($F77&lt;=65,"упрощённая оценка (п. 6.11.3)","нужен расчёт (прил. В / ПО изготовителя)")</f>
        <v>упрощённая оценка (п. 6.11.3)</v>
      </c>
      <c r="J77" s="7"/>
      <c r="K77" s="11" t="n">
        <f aca="false">VLOOKUP($D77,Категории!$A$5:$C$17,2,FALSE())</f>
        <v>60</v>
      </c>
    </row>
    <row r="78" customFormat="false" ht="23.85" hidden="false" customHeight="false" outlineLevel="0" collapsed="false">
      <c r="A78" s="5" t="n">
        <v>1</v>
      </c>
      <c r="B78" s="6" t="s">
        <v>135</v>
      </c>
      <c r="C78" s="7" t="s">
        <v>136</v>
      </c>
      <c r="D78" s="8" t="s">
        <v>23</v>
      </c>
      <c r="E78" s="9"/>
      <c r="F78" s="10" t="n">
        <f aca="false">IF($E78="",$K78,MAX($K78,INDEX($K$6:$K$225,MATCH($E78,$B$6:$B$225,0))))</f>
        <v>80</v>
      </c>
      <c r="G78" s="7" t="str">
        <f aca="false">IF($E78="",VLOOKUP($D78,Категории!$A$5:$C$17,3,FALSE()),"п. 21 — по пом. "&amp;$E78)</f>
        <v>по аналогии с п. 4</v>
      </c>
      <c r="H78" s="5" t="n">
        <f aca="false">MAX($F78+15,65)</f>
        <v>95</v>
      </c>
      <c r="I78" s="7" t="str">
        <f aca="false">IF($F78&lt;=65,"упрощённая оценка (п. 6.11.3)","нужен расчёт (прил. В / ПО изготовителя)")</f>
        <v>нужен расчёт (прил. В / ПО изготовителя)</v>
      </c>
      <c r="J78" s="7" t="s">
        <v>24</v>
      </c>
      <c r="K78" s="11" t="n">
        <f aca="false">VLOOKUP($D78,Категории!$A$5:$C$17,2,FALSE())</f>
        <v>80</v>
      </c>
    </row>
    <row r="79" customFormat="false" ht="23.85" hidden="false" customHeight="false" outlineLevel="0" collapsed="false">
      <c r="A79" s="5" t="n">
        <v>1</v>
      </c>
      <c r="B79" s="6" t="s">
        <v>137</v>
      </c>
      <c r="C79" s="7" t="s">
        <v>26</v>
      </c>
      <c r="D79" s="8" t="s">
        <v>27</v>
      </c>
      <c r="E79" s="9" t="s">
        <v>135</v>
      </c>
      <c r="F79" s="10" t="n">
        <f aca="false">IF($E79="",$K79,MAX($K79,INDEX($K$6:$K$225,MATCH($E79,$B$6:$B$225,0))))</f>
        <v>80</v>
      </c>
      <c r="G79" s="7" t="str">
        <f aca="false">IF($E79="",VLOOKUP($D79,Категории!$A$5:$C$17,3,FALSE()),"п. 21 — по пом. "&amp;$E79)</f>
        <v>п. 21 — по пом. 74</v>
      </c>
      <c r="H79" s="5" t="n">
        <f aca="false">MAX($F79+15,65)</f>
        <v>95</v>
      </c>
      <c r="I79" s="7" t="str">
        <f aca="false">IF($F79&lt;=65,"упрощённая оценка (п. 6.11.3)","нужен расчёт (прил. В / ПО изготовителя)")</f>
        <v>нужен расчёт (прил. В / ПО изготовителя)</v>
      </c>
      <c r="J79" s="7" t="s">
        <v>138</v>
      </c>
      <c r="K79" s="11" t="n">
        <f aca="false">VLOOKUP($D79,Категории!$A$5:$C$17,2,FALSE())</f>
        <v>60</v>
      </c>
    </row>
    <row r="80" customFormat="false" ht="15" hidden="false" customHeight="false" outlineLevel="0" collapsed="false">
      <c r="A80" s="5" t="n">
        <v>1</v>
      </c>
      <c r="B80" s="6" t="s">
        <v>139</v>
      </c>
      <c r="C80" s="7" t="s">
        <v>140</v>
      </c>
      <c r="D80" s="8" t="s">
        <v>37</v>
      </c>
      <c r="E80" s="9"/>
      <c r="F80" s="10" t="n">
        <f aca="false">IF($E80="",$K80,MAX($K80,INDEX($K$6:$K$225,MATCH($E80,$B$6:$B$225,0))))</f>
        <v>60</v>
      </c>
      <c r="G80" s="7" t="str">
        <f aca="false">IF($E80="",VLOOKUP($D80,Категории!$A$5:$C$17,3,FALSE()),"п. 21 — по пом. "&amp;$E80)</f>
        <v>по аналогии с п. 6</v>
      </c>
      <c r="H80" s="5" t="n">
        <f aca="false">MAX($F80+15,65)</f>
        <v>75</v>
      </c>
      <c r="I80" s="7" t="str">
        <f aca="false">IF($F80&lt;=65,"упрощённая оценка (п. 6.11.3)","нужен расчёт (прил. В / ПО изготовителя)")</f>
        <v>упрощённая оценка (п. 6.11.3)</v>
      </c>
      <c r="J80" s="7"/>
      <c r="K80" s="11" t="n">
        <f aca="false">VLOOKUP($D80,Категории!$A$5:$C$17,2,FALSE())</f>
        <v>60</v>
      </c>
    </row>
    <row r="81" customFormat="false" ht="15" hidden="false" customHeight="false" outlineLevel="0" collapsed="false">
      <c r="A81" s="5" t="n">
        <v>1</v>
      </c>
      <c r="B81" s="6" t="s">
        <v>141</v>
      </c>
      <c r="C81" s="7" t="s">
        <v>142</v>
      </c>
      <c r="D81" s="8" t="s">
        <v>48</v>
      </c>
      <c r="E81" s="9"/>
      <c r="F81" s="10" t="n">
        <f aca="false">IF($E81="",$K81,MAX($K81,INDEX($K$6:$K$225,MATCH($E81,$B$6:$B$225,0))))</f>
        <v>60</v>
      </c>
      <c r="G81" s="7" t="str">
        <f aca="false">IF($E81="",VLOOKUP($D81,Категории!$A$5:$C$17,3,FALSE()),"п. 21 — по пом. "&amp;$E81)</f>
        <v>п. 6</v>
      </c>
      <c r="H81" s="5" t="n">
        <f aca="false">MAX($F81+15,65)</f>
        <v>75</v>
      </c>
      <c r="I81" s="7" t="str">
        <f aca="false">IF($F81&lt;=65,"упрощённая оценка (п. 6.11.3)","нужен расчёт (прил. В / ПО изготовителя)")</f>
        <v>упрощённая оценка (п. 6.11.3)</v>
      </c>
      <c r="J81" s="7"/>
      <c r="K81" s="11" t="n">
        <f aca="false">VLOOKUP($D81,Категории!$A$5:$C$17,2,FALSE())</f>
        <v>60</v>
      </c>
    </row>
    <row r="82" customFormat="false" ht="15" hidden="false" customHeight="false" outlineLevel="0" collapsed="false">
      <c r="A82" s="5" t="n">
        <v>1</v>
      </c>
      <c r="B82" s="6" t="s">
        <v>143</v>
      </c>
      <c r="C82" s="7" t="s">
        <v>51</v>
      </c>
      <c r="D82" s="8" t="s">
        <v>48</v>
      </c>
      <c r="E82" s="9"/>
      <c r="F82" s="10" t="n">
        <f aca="false">IF($E82="",$K82,MAX($K82,INDEX($K$6:$K$225,MATCH($E82,$B$6:$B$225,0))))</f>
        <v>60</v>
      </c>
      <c r="G82" s="7" t="str">
        <f aca="false">IF($E82="",VLOOKUP($D82,Категории!$A$5:$C$17,3,FALSE()),"п. 21 — по пом. "&amp;$E82)</f>
        <v>п. 6</v>
      </c>
      <c r="H82" s="5" t="n">
        <f aca="false">MAX($F82+15,65)</f>
        <v>75</v>
      </c>
      <c r="I82" s="7" t="str">
        <f aca="false">IF($F82&lt;=65,"упрощённая оценка (п. 6.11.3)","нужен расчёт (прил. В / ПО изготовителя)")</f>
        <v>упрощённая оценка (п. 6.11.3)</v>
      </c>
      <c r="J82" s="7"/>
      <c r="K82" s="11" t="n">
        <f aca="false">VLOOKUP($D82,Категории!$A$5:$C$17,2,FALSE())</f>
        <v>60</v>
      </c>
    </row>
    <row r="83" customFormat="false" ht="23.85" hidden="false" customHeight="false" outlineLevel="0" collapsed="false">
      <c r="A83" s="5" t="n">
        <v>1</v>
      </c>
      <c r="B83" s="6" t="s">
        <v>144</v>
      </c>
      <c r="C83" s="7" t="s">
        <v>26</v>
      </c>
      <c r="D83" s="8" t="s">
        <v>27</v>
      </c>
      <c r="E83" s="9" t="s">
        <v>135</v>
      </c>
      <c r="F83" s="10" t="n">
        <f aca="false">IF($E83="",$K83,MAX($K83,INDEX($K$6:$K$225,MATCH($E83,$B$6:$B$225,0))))</f>
        <v>80</v>
      </c>
      <c r="G83" s="7" t="str">
        <f aca="false">IF($E83="",VLOOKUP($D83,Категории!$A$5:$C$17,3,FALSE()),"п. 21 — по пом. "&amp;$E83)</f>
        <v>п. 21 — по пом. 74</v>
      </c>
      <c r="H83" s="5" t="n">
        <f aca="false">MAX($F83+15,65)</f>
        <v>95</v>
      </c>
      <c r="I83" s="7" t="str">
        <f aca="false">IF($F83&lt;=65,"упрощённая оценка (п. 6.11.3)","нужен расчёт (прил. В / ПО изготовителя)")</f>
        <v>нужен расчёт (прил. В / ПО изготовителя)</v>
      </c>
      <c r="J83" s="7" t="s">
        <v>145</v>
      </c>
      <c r="K83" s="11" t="n">
        <f aca="false">VLOOKUP($D83,Категории!$A$5:$C$17,2,FALSE())</f>
        <v>60</v>
      </c>
    </row>
    <row r="84" customFormat="false" ht="15" hidden="false" customHeight="false" outlineLevel="0" collapsed="false">
      <c r="A84" s="5" t="n">
        <v>1</v>
      </c>
      <c r="B84" s="6" t="s">
        <v>146</v>
      </c>
      <c r="C84" s="7" t="s">
        <v>36</v>
      </c>
      <c r="D84" s="8" t="s">
        <v>37</v>
      </c>
      <c r="E84" s="9"/>
      <c r="F84" s="10" t="n">
        <f aca="false">IF($E84="",$K84,MAX($K84,INDEX($K$6:$K$225,MATCH($E84,$B$6:$B$225,0))))</f>
        <v>60</v>
      </c>
      <c r="G84" s="7" t="str">
        <f aca="false">IF($E84="",VLOOKUP($D84,Категории!$A$5:$C$17,3,FALSE()),"п. 21 — по пом. "&amp;$E84)</f>
        <v>по аналогии с п. 6</v>
      </c>
      <c r="H84" s="5" t="n">
        <f aca="false">MAX($F84+15,65)</f>
        <v>75</v>
      </c>
      <c r="I84" s="7" t="str">
        <f aca="false">IF($F84&lt;=65,"упрощённая оценка (п. 6.11.3)","нужен расчёт (прил. В / ПО изготовителя)")</f>
        <v>упрощённая оценка (п. 6.11.3)</v>
      </c>
      <c r="J84" s="7"/>
      <c r="K84" s="11" t="n">
        <f aca="false">VLOOKUP($D84,Категории!$A$5:$C$17,2,FALSE())</f>
        <v>60</v>
      </c>
    </row>
    <row r="85" customFormat="false" ht="23.85" hidden="false" customHeight="false" outlineLevel="0" collapsed="false">
      <c r="A85" s="5" t="n">
        <v>1</v>
      </c>
      <c r="B85" s="6" t="s">
        <v>147</v>
      </c>
      <c r="C85" s="7" t="s">
        <v>26</v>
      </c>
      <c r="D85" s="8" t="s">
        <v>27</v>
      </c>
      <c r="E85" s="9" t="s">
        <v>135</v>
      </c>
      <c r="F85" s="10" t="n">
        <f aca="false">IF($E85="",$K85,MAX($K85,INDEX($K$6:$K$225,MATCH($E85,$B$6:$B$225,0))))</f>
        <v>80</v>
      </c>
      <c r="G85" s="7" t="str">
        <f aca="false">IF($E85="",VLOOKUP($D85,Категории!$A$5:$C$17,3,FALSE()),"п. 21 — по пом. "&amp;$E85)</f>
        <v>п. 21 — по пом. 74</v>
      </c>
      <c r="H85" s="5" t="n">
        <f aca="false">MAX($F85+15,65)</f>
        <v>95</v>
      </c>
      <c r="I85" s="7" t="str">
        <f aca="false">IF($F85&lt;=65,"упрощённая оценка (п. 6.11.3)","нужен расчёт (прил. В / ПО изготовителя)")</f>
        <v>нужен расчёт (прил. В / ПО изготовителя)</v>
      </c>
      <c r="J85" s="7" t="s">
        <v>145</v>
      </c>
      <c r="K85" s="11" t="n">
        <f aca="false">VLOOKUP($D85,Категории!$A$5:$C$17,2,FALSE())</f>
        <v>60</v>
      </c>
    </row>
    <row r="86" customFormat="false" ht="15" hidden="false" customHeight="false" outlineLevel="0" collapsed="false">
      <c r="A86" s="5" t="n">
        <v>1</v>
      </c>
      <c r="B86" s="6" t="s">
        <v>148</v>
      </c>
      <c r="C86" s="7" t="s">
        <v>98</v>
      </c>
      <c r="D86" s="8" t="s">
        <v>99</v>
      </c>
      <c r="E86" s="9"/>
      <c r="F86" s="10" t="n">
        <f aca="false">IF($E86="",$K86,MAX($K86,INDEX($K$6:$K$225,MATCH($E86,$B$6:$B$225,0))))</f>
        <v>55</v>
      </c>
      <c r="G86" s="7" t="str">
        <f aca="false">IF($E86="",VLOOKUP($D86,Категории!$A$5:$C$17,3,FALSE()),"п. 21 — по пом. "&amp;$E86)</f>
        <v>п. 28</v>
      </c>
      <c r="H86" s="5" t="n">
        <f aca="false">MAX($F86+15,65)</f>
        <v>70</v>
      </c>
      <c r="I86" s="7" t="str">
        <f aca="false">IF($F86&lt;=65,"упрощённая оценка (п. 6.11.3)","нужен расчёт (прил. В / ПО изготовителя)")</f>
        <v>упрощённая оценка (п. 6.11.3)</v>
      </c>
      <c r="J86" s="7"/>
      <c r="K86" s="11" t="n">
        <f aca="false">VLOOKUP($D86,Категории!$A$5:$C$17,2,FALSE())</f>
        <v>55</v>
      </c>
    </row>
    <row r="87" customFormat="false" ht="15" hidden="false" customHeight="false" outlineLevel="0" collapsed="false">
      <c r="A87" s="5" t="n">
        <v>1</v>
      </c>
      <c r="B87" s="6" t="s">
        <v>149</v>
      </c>
      <c r="C87" s="7" t="s">
        <v>26</v>
      </c>
      <c r="D87" s="8" t="s">
        <v>27</v>
      </c>
      <c r="E87" s="9"/>
      <c r="F87" s="10" t="n">
        <f aca="false">IF($E87="",$K87,MAX($K87,INDEX($K$6:$K$225,MATCH($E87,$B$6:$B$225,0))))</f>
        <v>60</v>
      </c>
      <c r="G87" s="7" t="str">
        <f aca="false">IF($E87="",VLOOKUP($D87,Категории!$A$5:$C$17,3,FALSE()),"п. 21 — по пом. "&amp;$E87)</f>
        <v>п. 21</v>
      </c>
      <c r="H87" s="5" t="n">
        <f aca="false">MAX($F87+15,65)</f>
        <v>75</v>
      </c>
      <c r="I87" s="7" t="str">
        <f aca="false">IF($F87&lt;=65,"упрощённая оценка (п. 6.11.3)","нужен расчёт (прил. В / ПО изготовителя)")</f>
        <v>упрощённая оценка (п. 6.11.3)</v>
      </c>
      <c r="J87" s="7"/>
      <c r="K87" s="11" t="n">
        <f aca="false">VLOOKUP($D87,Категории!$A$5:$C$17,2,FALSE())</f>
        <v>60</v>
      </c>
    </row>
    <row r="88" customFormat="false" ht="23.85" hidden="false" customHeight="false" outlineLevel="0" collapsed="false">
      <c r="A88" s="5" t="n">
        <v>1</v>
      </c>
      <c r="B88" s="6" t="s">
        <v>150</v>
      </c>
      <c r="C88" s="7" t="s">
        <v>26</v>
      </c>
      <c r="D88" s="8" t="s">
        <v>27</v>
      </c>
      <c r="E88" s="9" t="s">
        <v>135</v>
      </c>
      <c r="F88" s="10" t="n">
        <f aca="false">IF($E88="",$K88,MAX($K88,INDEX($K$6:$K$225,MATCH($E88,$B$6:$B$225,0))))</f>
        <v>80</v>
      </c>
      <c r="G88" s="7" t="str">
        <f aca="false">IF($E88="",VLOOKUP($D88,Категории!$A$5:$C$17,3,FALSE()),"п. 21 — по пом. "&amp;$E88)</f>
        <v>п. 21 — по пом. 74</v>
      </c>
      <c r="H88" s="5" t="n">
        <f aca="false">MAX($F88+15,65)</f>
        <v>95</v>
      </c>
      <c r="I88" s="7" t="str">
        <f aca="false">IF($F88&lt;=65,"упрощённая оценка (п. 6.11.3)","нужен расчёт (прил. В / ПО изготовителя)")</f>
        <v>нужен расчёт (прил. В / ПО изготовителя)</v>
      </c>
      <c r="J88" s="7" t="s">
        <v>145</v>
      </c>
      <c r="K88" s="11" t="n">
        <f aca="false">VLOOKUP($D88,Категории!$A$5:$C$17,2,FALSE())</f>
        <v>60</v>
      </c>
    </row>
    <row r="89" customFormat="false" ht="23.85" hidden="false" customHeight="false" outlineLevel="0" collapsed="false">
      <c r="A89" s="5" t="n">
        <v>1</v>
      </c>
      <c r="B89" s="6" t="s">
        <v>151</v>
      </c>
      <c r="C89" s="7" t="s">
        <v>26</v>
      </c>
      <c r="D89" s="8" t="s">
        <v>27</v>
      </c>
      <c r="E89" s="9" t="s">
        <v>135</v>
      </c>
      <c r="F89" s="10" t="n">
        <f aca="false">IF($E89="",$K89,MAX($K89,INDEX($K$6:$K$225,MATCH($E89,$B$6:$B$225,0))))</f>
        <v>80</v>
      </c>
      <c r="G89" s="7" t="str">
        <f aca="false">IF($E89="",VLOOKUP($D89,Категории!$A$5:$C$17,3,FALSE()),"п. 21 — по пом. "&amp;$E89)</f>
        <v>п. 21 — по пом. 74</v>
      </c>
      <c r="H89" s="5" t="n">
        <f aca="false">MAX($F89+15,65)</f>
        <v>95</v>
      </c>
      <c r="I89" s="7" t="str">
        <f aca="false">IF($F89&lt;=65,"упрощённая оценка (п. 6.11.3)","нужен расчёт (прил. В / ПО изготовителя)")</f>
        <v>нужен расчёт (прил. В / ПО изготовителя)</v>
      </c>
      <c r="J89" s="7" t="s">
        <v>145</v>
      </c>
      <c r="K89" s="11" t="n">
        <f aca="false">VLOOKUP($D89,Категории!$A$5:$C$17,2,FALSE())</f>
        <v>60</v>
      </c>
    </row>
    <row r="90" customFormat="false" ht="23.85" hidden="false" customHeight="false" outlineLevel="0" collapsed="false">
      <c r="A90" s="5" t="n">
        <v>2</v>
      </c>
      <c r="B90" s="6" t="s">
        <v>152</v>
      </c>
      <c r="C90" s="7" t="s">
        <v>77</v>
      </c>
      <c r="D90" s="8" t="s">
        <v>16</v>
      </c>
      <c r="E90" s="9"/>
      <c r="F90" s="10" t="n">
        <f aca="false">IF($E90="",$K90,MAX($K90,INDEX($K$6:$K$225,MATCH($E90,$B$6:$B$225,0))))</f>
        <v>65</v>
      </c>
      <c r="G90" s="7" t="str">
        <f aca="false">IF($E90="",VLOOKUP($D90,Категории!$A$5:$C$17,3,FALSE()),"п. 21 — по пом. "&amp;$E90)</f>
        <v>п. 18 (тир, раздевалки — по аналогии)</v>
      </c>
      <c r="H90" s="5" t="n">
        <f aca="false">MAX($F90+15,65)</f>
        <v>80</v>
      </c>
      <c r="I90" s="7" t="str">
        <f aca="false">IF($F90&lt;=65,"упрощённая оценка (п. 6.11.3)","нужен расчёт (прил. В / ПО изготовителя)")</f>
        <v>упрощённая оценка (п. 6.11.3)</v>
      </c>
      <c r="J90" s="7"/>
      <c r="K90" s="11" t="n">
        <f aca="false">VLOOKUP($D90,Категории!$A$5:$C$17,2,FALSE())</f>
        <v>65</v>
      </c>
    </row>
    <row r="91" customFormat="false" ht="15" hidden="false" customHeight="false" outlineLevel="0" collapsed="false">
      <c r="A91" s="5" t="n">
        <v>2</v>
      </c>
      <c r="B91" s="6" t="s">
        <v>153</v>
      </c>
      <c r="C91" s="7" t="s">
        <v>154</v>
      </c>
      <c r="D91" s="8" t="s">
        <v>48</v>
      </c>
      <c r="E91" s="9"/>
      <c r="F91" s="10" t="n">
        <f aca="false">IF($E91="",$K91,MAX($K91,INDEX($K$6:$K$225,MATCH($E91,$B$6:$B$225,0))))</f>
        <v>60</v>
      </c>
      <c r="G91" s="7" t="str">
        <f aca="false">IF($E91="",VLOOKUP($D91,Категории!$A$5:$C$17,3,FALSE()),"п. 21 — по пом. "&amp;$E91)</f>
        <v>п. 6</v>
      </c>
      <c r="H91" s="5" t="n">
        <f aca="false">MAX($F91+15,65)</f>
        <v>75</v>
      </c>
      <c r="I91" s="7" t="str">
        <f aca="false">IF($F91&lt;=65,"упрощённая оценка (п. 6.11.3)","нужен расчёт (прил. В / ПО изготовителя)")</f>
        <v>упрощённая оценка (п. 6.11.3)</v>
      </c>
      <c r="J91" s="7"/>
      <c r="K91" s="11" t="n">
        <f aca="false">VLOOKUP($D91,Категории!$A$5:$C$17,2,FALSE())</f>
        <v>60</v>
      </c>
    </row>
    <row r="92" customFormat="false" ht="15" hidden="false" customHeight="false" outlineLevel="0" collapsed="false">
      <c r="A92" s="5" t="n">
        <v>2</v>
      </c>
      <c r="B92" s="6" t="s">
        <v>155</v>
      </c>
      <c r="C92" s="7" t="s">
        <v>154</v>
      </c>
      <c r="D92" s="8" t="s">
        <v>48</v>
      </c>
      <c r="E92" s="9"/>
      <c r="F92" s="10" t="n">
        <f aca="false">IF($E92="",$K92,MAX($K92,INDEX($K$6:$K$225,MATCH($E92,$B$6:$B$225,0))))</f>
        <v>60</v>
      </c>
      <c r="G92" s="7" t="str">
        <f aca="false">IF($E92="",VLOOKUP($D92,Категории!$A$5:$C$17,3,FALSE()),"п. 21 — по пом. "&amp;$E92)</f>
        <v>п. 6</v>
      </c>
      <c r="H92" s="5" t="n">
        <f aca="false">MAX($F92+15,65)</f>
        <v>75</v>
      </c>
      <c r="I92" s="7" t="str">
        <f aca="false">IF($F92&lt;=65,"упрощённая оценка (п. 6.11.3)","нужен расчёт (прил. В / ПО изготовителя)")</f>
        <v>упрощённая оценка (п. 6.11.3)</v>
      </c>
      <c r="J92" s="7"/>
      <c r="K92" s="11" t="n">
        <f aca="false">VLOOKUP($D92,Категории!$A$5:$C$17,2,FALSE())</f>
        <v>60</v>
      </c>
    </row>
    <row r="93" customFormat="false" ht="15" hidden="false" customHeight="false" outlineLevel="0" collapsed="false">
      <c r="A93" s="5" t="n">
        <v>2</v>
      </c>
      <c r="B93" s="6" t="s">
        <v>156</v>
      </c>
      <c r="C93" s="7" t="s">
        <v>157</v>
      </c>
      <c r="D93" s="8" t="s">
        <v>48</v>
      </c>
      <c r="E93" s="9"/>
      <c r="F93" s="10" t="n">
        <f aca="false">IF($E93="",$K93,MAX($K93,INDEX($K$6:$K$225,MATCH($E93,$B$6:$B$225,0))))</f>
        <v>60</v>
      </c>
      <c r="G93" s="7" t="str">
        <f aca="false">IF($E93="",VLOOKUP($D93,Категории!$A$5:$C$17,3,FALSE()),"п. 21 — по пом. "&amp;$E93)</f>
        <v>п. 6</v>
      </c>
      <c r="H93" s="5" t="n">
        <f aca="false">MAX($F93+15,65)</f>
        <v>75</v>
      </c>
      <c r="I93" s="7" t="str">
        <f aca="false">IF($F93&lt;=65,"упрощённая оценка (п. 6.11.3)","нужен расчёт (прил. В / ПО изготовителя)")</f>
        <v>упрощённая оценка (п. 6.11.3)</v>
      </c>
      <c r="J93" s="7" t="s">
        <v>158</v>
      </c>
      <c r="K93" s="11" t="n">
        <f aca="false">VLOOKUP($D93,Категории!$A$5:$C$17,2,FALSE())</f>
        <v>60</v>
      </c>
    </row>
    <row r="94" customFormat="false" ht="15" hidden="false" customHeight="false" outlineLevel="0" collapsed="false">
      <c r="A94" s="5" t="n">
        <v>2</v>
      </c>
      <c r="B94" s="6" t="s">
        <v>159</v>
      </c>
      <c r="C94" s="7" t="s">
        <v>51</v>
      </c>
      <c r="D94" s="8" t="s">
        <v>48</v>
      </c>
      <c r="E94" s="9"/>
      <c r="F94" s="10" t="n">
        <f aca="false">IF($E94="",$K94,MAX($K94,INDEX($K$6:$K$225,MATCH($E94,$B$6:$B$225,0))))</f>
        <v>60</v>
      </c>
      <c r="G94" s="7" t="str">
        <f aca="false">IF($E94="",VLOOKUP($D94,Категории!$A$5:$C$17,3,FALSE()),"п. 21 — по пом. "&amp;$E94)</f>
        <v>п. 6</v>
      </c>
      <c r="H94" s="5" t="n">
        <f aca="false">MAX($F94+15,65)</f>
        <v>75</v>
      </c>
      <c r="I94" s="7" t="str">
        <f aca="false">IF($F94&lt;=65,"упрощённая оценка (п. 6.11.3)","нужен расчёт (прил. В / ПО изготовителя)")</f>
        <v>упрощённая оценка (п. 6.11.3)</v>
      </c>
      <c r="J94" s="7"/>
      <c r="K94" s="11" t="n">
        <f aca="false">VLOOKUP($D94,Категории!$A$5:$C$17,2,FALSE())</f>
        <v>60</v>
      </c>
    </row>
    <row r="95" customFormat="false" ht="15" hidden="false" customHeight="false" outlineLevel="0" collapsed="false">
      <c r="A95" s="5" t="n">
        <v>2</v>
      </c>
      <c r="B95" s="6" t="s">
        <v>160</v>
      </c>
      <c r="C95" s="7" t="s">
        <v>34</v>
      </c>
      <c r="D95" s="8" t="s">
        <v>27</v>
      </c>
      <c r="E95" s="9"/>
      <c r="F95" s="10" t="n">
        <f aca="false">IF($E95="",$K95,MAX($K95,INDEX($K$6:$K$225,MATCH($E95,$B$6:$B$225,0))))</f>
        <v>60</v>
      </c>
      <c r="G95" s="7" t="str">
        <f aca="false">IF($E95="",VLOOKUP($D95,Категории!$A$5:$C$17,3,FALSE()),"п. 21 — по пом. "&amp;$E95)</f>
        <v>п. 21</v>
      </c>
      <c r="H95" s="5" t="n">
        <f aca="false">MAX($F95+15,65)</f>
        <v>75</v>
      </c>
      <c r="I95" s="7" t="str">
        <f aca="false">IF($F95&lt;=65,"упрощённая оценка (п. 6.11.3)","нужен расчёт (прил. В / ПО изготовителя)")</f>
        <v>упрощённая оценка (п. 6.11.3)</v>
      </c>
      <c r="J95" s="7"/>
      <c r="K95" s="11" t="n">
        <f aca="false">VLOOKUP($D95,Категории!$A$5:$C$17,2,FALSE())</f>
        <v>60</v>
      </c>
    </row>
    <row r="96" customFormat="false" ht="15" hidden="false" customHeight="false" outlineLevel="0" collapsed="false">
      <c r="A96" s="5" t="n">
        <v>2</v>
      </c>
      <c r="B96" s="6" t="s">
        <v>161</v>
      </c>
      <c r="C96" s="7" t="s">
        <v>51</v>
      </c>
      <c r="D96" s="8" t="s">
        <v>48</v>
      </c>
      <c r="E96" s="9"/>
      <c r="F96" s="10" t="n">
        <f aca="false">IF($E96="",$K96,MAX($K96,INDEX($K$6:$K$225,MATCH($E96,$B$6:$B$225,0))))</f>
        <v>60</v>
      </c>
      <c r="G96" s="7" t="str">
        <f aca="false">IF($E96="",VLOOKUP($D96,Категории!$A$5:$C$17,3,FALSE()),"п. 21 — по пом. "&amp;$E96)</f>
        <v>п. 6</v>
      </c>
      <c r="H96" s="5" t="n">
        <f aca="false">MAX($F96+15,65)</f>
        <v>75</v>
      </c>
      <c r="I96" s="7" t="str">
        <f aca="false">IF($F96&lt;=65,"упрощённая оценка (п. 6.11.3)","нужен расчёт (прил. В / ПО изготовителя)")</f>
        <v>упрощённая оценка (п. 6.11.3)</v>
      </c>
      <c r="J96" s="7"/>
      <c r="K96" s="11" t="n">
        <f aca="false">VLOOKUP($D96,Категории!$A$5:$C$17,2,FALSE())</f>
        <v>60</v>
      </c>
    </row>
    <row r="97" customFormat="false" ht="15" hidden="false" customHeight="false" outlineLevel="0" collapsed="false">
      <c r="A97" s="5" t="n">
        <v>2</v>
      </c>
      <c r="B97" s="6" t="s">
        <v>162</v>
      </c>
      <c r="C97" s="7" t="s">
        <v>26</v>
      </c>
      <c r="D97" s="8" t="s">
        <v>27</v>
      </c>
      <c r="E97" s="9" t="s">
        <v>152</v>
      </c>
      <c r="F97" s="10" t="n">
        <f aca="false">IF($E97="",$K97,MAX($K97,INDEX($K$6:$K$225,MATCH($E97,$B$6:$B$225,0))))</f>
        <v>65</v>
      </c>
      <c r="G97" s="7" t="str">
        <f aca="false">IF($E97="",VLOOKUP($D97,Категории!$A$5:$C$17,3,FALSE()),"п. 21 — по пом. "&amp;$E97)</f>
        <v>п. 21 — по пом. 35</v>
      </c>
      <c r="H97" s="5" t="n">
        <f aca="false">MAX($F97+15,65)</f>
        <v>80</v>
      </c>
      <c r="I97" s="7" t="str">
        <f aca="false">IF($F97&lt;=65,"упрощённая оценка (п. 6.11.3)","нужен расчёт (прил. В / ПО изготовителя)")</f>
        <v>упрощённая оценка (п. 6.11.3)</v>
      </c>
      <c r="J97" s="7" t="s">
        <v>163</v>
      </c>
      <c r="K97" s="11" t="n">
        <f aca="false">VLOOKUP($D97,Категории!$A$5:$C$17,2,FALSE())</f>
        <v>60</v>
      </c>
    </row>
    <row r="98" customFormat="false" ht="15" hidden="false" customHeight="false" outlineLevel="0" collapsed="false">
      <c r="A98" s="5" t="n">
        <v>2</v>
      </c>
      <c r="B98" s="6" t="s">
        <v>164</v>
      </c>
      <c r="C98" s="7" t="s">
        <v>34</v>
      </c>
      <c r="D98" s="8" t="s">
        <v>27</v>
      </c>
      <c r="E98" s="9"/>
      <c r="F98" s="10" t="n">
        <f aca="false">IF($E98="",$K98,MAX($K98,INDEX($K$6:$K$225,MATCH($E98,$B$6:$B$225,0))))</f>
        <v>60</v>
      </c>
      <c r="G98" s="7" t="str">
        <f aca="false">IF($E98="",VLOOKUP($D98,Категории!$A$5:$C$17,3,FALSE()),"п. 21 — по пом. "&amp;$E98)</f>
        <v>п. 21</v>
      </c>
      <c r="H98" s="5" t="n">
        <f aca="false">MAX($F98+15,65)</f>
        <v>75</v>
      </c>
      <c r="I98" s="7" t="str">
        <f aca="false">IF($F98&lt;=65,"упрощённая оценка (п. 6.11.3)","нужен расчёт (прил. В / ПО изготовителя)")</f>
        <v>упрощённая оценка (п. 6.11.3)</v>
      </c>
      <c r="J98" s="7"/>
      <c r="K98" s="11" t="n">
        <f aca="false">VLOOKUP($D98,Категории!$A$5:$C$17,2,FALSE())</f>
        <v>60</v>
      </c>
    </row>
    <row r="99" customFormat="false" ht="15" hidden="false" customHeight="false" outlineLevel="0" collapsed="false">
      <c r="A99" s="5" t="n">
        <v>2</v>
      </c>
      <c r="B99" s="6" t="s">
        <v>165</v>
      </c>
      <c r="C99" s="7" t="s">
        <v>51</v>
      </c>
      <c r="D99" s="8" t="s">
        <v>48</v>
      </c>
      <c r="E99" s="9"/>
      <c r="F99" s="10" t="n">
        <f aca="false">IF($E99="",$K99,MAX($K99,INDEX($K$6:$K$225,MATCH($E99,$B$6:$B$225,0))))</f>
        <v>60</v>
      </c>
      <c r="G99" s="7" t="str">
        <f aca="false">IF($E99="",VLOOKUP($D99,Категории!$A$5:$C$17,3,FALSE()),"п. 21 — по пом. "&amp;$E99)</f>
        <v>п. 6</v>
      </c>
      <c r="H99" s="5" t="n">
        <f aca="false">MAX($F99+15,65)</f>
        <v>75</v>
      </c>
      <c r="I99" s="7" t="str">
        <f aca="false">IF($F99&lt;=65,"упрощённая оценка (п. 6.11.3)","нужен расчёт (прил. В / ПО изготовителя)")</f>
        <v>упрощённая оценка (п. 6.11.3)</v>
      </c>
      <c r="J99" s="7"/>
      <c r="K99" s="11" t="n">
        <f aca="false">VLOOKUP($D99,Категории!$A$5:$C$17,2,FALSE())</f>
        <v>60</v>
      </c>
    </row>
    <row r="100" customFormat="false" ht="15" hidden="false" customHeight="false" outlineLevel="0" collapsed="false">
      <c r="A100" s="5" t="n">
        <v>2</v>
      </c>
      <c r="B100" s="6" t="s">
        <v>166</v>
      </c>
      <c r="C100" s="7" t="s">
        <v>26</v>
      </c>
      <c r="D100" s="8" t="s">
        <v>27</v>
      </c>
      <c r="E100" s="9"/>
      <c r="F100" s="10" t="n">
        <f aca="false">IF($E100="",$K100,MAX($K100,INDEX($K$6:$K$225,MATCH($E100,$B$6:$B$225,0))))</f>
        <v>60</v>
      </c>
      <c r="G100" s="7" t="str">
        <f aca="false">IF($E100="",VLOOKUP($D100,Категории!$A$5:$C$17,3,FALSE()),"п. 21 — по пом. "&amp;$E100)</f>
        <v>п. 21</v>
      </c>
      <c r="H100" s="5" t="n">
        <f aca="false">MAX($F100+15,65)</f>
        <v>75</v>
      </c>
      <c r="I100" s="7" t="str">
        <f aca="false">IF($F100&lt;=65,"упрощённая оценка (п. 6.11.3)","нужен расчёт (прил. В / ПО изготовителя)")</f>
        <v>упрощённая оценка (п. 6.11.3)</v>
      </c>
      <c r="J100" s="7"/>
      <c r="K100" s="11" t="n">
        <f aca="false">VLOOKUP($D100,Категории!$A$5:$C$17,2,FALSE())</f>
        <v>60</v>
      </c>
    </row>
    <row r="101" customFormat="false" ht="15" hidden="false" customHeight="false" outlineLevel="0" collapsed="false">
      <c r="A101" s="5" t="n">
        <v>2</v>
      </c>
      <c r="B101" s="6" t="s">
        <v>167</v>
      </c>
      <c r="C101" s="7" t="s">
        <v>98</v>
      </c>
      <c r="D101" s="8" t="s">
        <v>99</v>
      </c>
      <c r="E101" s="9"/>
      <c r="F101" s="10" t="n">
        <f aca="false">IF($E101="",$K101,MAX($K101,INDEX($K$6:$K$225,MATCH($E101,$B$6:$B$225,0))))</f>
        <v>55</v>
      </c>
      <c r="G101" s="7" t="str">
        <f aca="false">IF($E101="",VLOOKUP($D101,Категории!$A$5:$C$17,3,FALSE()),"п. 21 — по пом. "&amp;$E101)</f>
        <v>п. 28</v>
      </c>
      <c r="H101" s="5" t="n">
        <f aca="false">MAX($F101+15,65)</f>
        <v>70</v>
      </c>
      <c r="I101" s="7" t="str">
        <f aca="false">IF($F101&lt;=65,"упрощённая оценка (п. 6.11.3)","нужен расчёт (прил. В / ПО изготовителя)")</f>
        <v>упрощённая оценка (п. 6.11.3)</v>
      </c>
      <c r="J101" s="7"/>
      <c r="K101" s="11" t="n">
        <f aca="false">VLOOKUP($D101,Категории!$A$5:$C$17,2,FALSE())</f>
        <v>55</v>
      </c>
    </row>
    <row r="102" customFormat="false" ht="15" hidden="false" customHeight="false" outlineLevel="0" collapsed="false">
      <c r="A102" s="5" t="n">
        <v>2</v>
      </c>
      <c r="B102" s="6" t="s">
        <v>168</v>
      </c>
      <c r="C102" s="7" t="s">
        <v>90</v>
      </c>
      <c r="D102" s="8" t="s">
        <v>37</v>
      </c>
      <c r="E102" s="9"/>
      <c r="F102" s="10" t="n">
        <f aca="false">IF($E102="",$K102,MAX($K102,INDEX($K$6:$K$225,MATCH($E102,$B$6:$B$225,0))))</f>
        <v>60</v>
      </c>
      <c r="G102" s="7" t="str">
        <f aca="false">IF($E102="",VLOOKUP($D102,Категории!$A$5:$C$17,3,FALSE()),"п. 21 — по пом. "&amp;$E102)</f>
        <v>по аналогии с п. 6</v>
      </c>
      <c r="H102" s="5" t="n">
        <f aca="false">MAX($F102+15,65)</f>
        <v>75</v>
      </c>
      <c r="I102" s="7" t="str">
        <f aca="false">IF($F102&lt;=65,"упрощённая оценка (п. 6.11.3)","нужен расчёт (прил. В / ПО изготовителя)")</f>
        <v>упрощённая оценка (п. 6.11.3)</v>
      </c>
      <c r="J102" s="7"/>
      <c r="K102" s="11" t="n">
        <f aca="false">VLOOKUP($D102,Категории!$A$5:$C$17,2,FALSE())</f>
        <v>60</v>
      </c>
    </row>
    <row r="103" customFormat="false" ht="15" hidden="false" customHeight="false" outlineLevel="0" collapsed="false">
      <c r="A103" s="5" t="n">
        <v>2</v>
      </c>
      <c r="B103" s="6" t="s">
        <v>169</v>
      </c>
      <c r="C103" s="7" t="s">
        <v>98</v>
      </c>
      <c r="D103" s="8" t="s">
        <v>99</v>
      </c>
      <c r="E103" s="9"/>
      <c r="F103" s="10" t="n">
        <f aca="false">IF($E103="",$K103,MAX($K103,INDEX($K$6:$K$225,MATCH($E103,$B$6:$B$225,0))))</f>
        <v>55</v>
      </c>
      <c r="G103" s="7" t="str">
        <f aca="false">IF($E103="",VLOOKUP($D103,Категории!$A$5:$C$17,3,FALSE()),"п. 21 — по пом. "&amp;$E103)</f>
        <v>п. 28</v>
      </c>
      <c r="H103" s="5" t="n">
        <f aca="false">MAX($F103+15,65)</f>
        <v>70</v>
      </c>
      <c r="I103" s="7" t="str">
        <f aca="false">IF($F103&lt;=65,"упрощённая оценка (п. 6.11.3)","нужен расчёт (прил. В / ПО изготовителя)")</f>
        <v>упрощённая оценка (п. 6.11.3)</v>
      </c>
      <c r="J103" s="7"/>
      <c r="K103" s="11" t="n">
        <f aca="false">VLOOKUP($D103,Категории!$A$5:$C$17,2,FALSE())</f>
        <v>55</v>
      </c>
    </row>
    <row r="104" customFormat="false" ht="15" hidden="false" customHeight="false" outlineLevel="0" collapsed="false">
      <c r="A104" s="5" t="n">
        <v>2</v>
      </c>
      <c r="B104" s="6" t="s">
        <v>170</v>
      </c>
      <c r="C104" s="7" t="s">
        <v>98</v>
      </c>
      <c r="D104" s="8" t="s">
        <v>99</v>
      </c>
      <c r="E104" s="9"/>
      <c r="F104" s="10" t="n">
        <f aca="false">IF($E104="",$K104,MAX($K104,INDEX($K$6:$K$225,MATCH($E104,$B$6:$B$225,0))))</f>
        <v>55</v>
      </c>
      <c r="G104" s="7" t="str">
        <f aca="false">IF($E104="",VLOOKUP($D104,Категории!$A$5:$C$17,3,FALSE()),"п. 21 — по пом. "&amp;$E104)</f>
        <v>п. 28</v>
      </c>
      <c r="H104" s="5" t="n">
        <f aca="false">MAX($F104+15,65)</f>
        <v>70</v>
      </c>
      <c r="I104" s="7" t="str">
        <f aca="false">IF($F104&lt;=65,"упрощённая оценка (п. 6.11.3)","нужен расчёт (прил. В / ПО изготовителя)")</f>
        <v>упрощённая оценка (п. 6.11.3)</v>
      </c>
      <c r="J104" s="7"/>
      <c r="K104" s="11" t="n">
        <f aca="false">VLOOKUP($D104,Категории!$A$5:$C$17,2,FALSE())</f>
        <v>55</v>
      </c>
    </row>
    <row r="105" customFormat="false" ht="15" hidden="false" customHeight="false" outlineLevel="0" collapsed="false">
      <c r="A105" s="5" t="n">
        <v>2</v>
      </c>
      <c r="B105" s="6" t="s">
        <v>171</v>
      </c>
      <c r="C105" s="7" t="s">
        <v>26</v>
      </c>
      <c r="D105" s="8" t="s">
        <v>27</v>
      </c>
      <c r="E105" s="9"/>
      <c r="F105" s="10" t="n">
        <f aca="false">IF($E105="",$K105,MAX($K105,INDEX($K$6:$K$225,MATCH($E105,$B$6:$B$225,0))))</f>
        <v>60</v>
      </c>
      <c r="G105" s="7" t="str">
        <f aca="false">IF($E105="",VLOOKUP($D105,Категории!$A$5:$C$17,3,FALSE()),"п. 21 — по пом. "&amp;$E105)</f>
        <v>п. 21</v>
      </c>
      <c r="H105" s="5" t="n">
        <f aca="false">MAX($F105+15,65)</f>
        <v>75</v>
      </c>
      <c r="I105" s="7" t="str">
        <f aca="false">IF($F105&lt;=65,"упрощённая оценка (п. 6.11.3)","нужен расчёт (прил. В / ПО изготовителя)")</f>
        <v>упрощённая оценка (п. 6.11.3)</v>
      </c>
      <c r="J105" s="7"/>
      <c r="K105" s="11" t="n">
        <f aca="false">VLOOKUP($D105,Категории!$A$5:$C$17,2,FALSE())</f>
        <v>60</v>
      </c>
    </row>
    <row r="106" customFormat="false" ht="15" hidden="false" customHeight="false" outlineLevel="0" collapsed="false">
      <c r="A106" s="5" t="n">
        <v>2</v>
      </c>
      <c r="B106" s="6" t="s">
        <v>172</v>
      </c>
      <c r="C106" s="7" t="s">
        <v>51</v>
      </c>
      <c r="D106" s="8" t="s">
        <v>48</v>
      </c>
      <c r="E106" s="9"/>
      <c r="F106" s="10" t="n">
        <f aca="false">IF($E106="",$K106,MAX($K106,INDEX($K$6:$K$225,MATCH($E106,$B$6:$B$225,0))))</f>
        <v>60</v>
      </c>
      <c r="G106" s="7" t="str">
        <f aca="false">IF($E106="",VLOOKUP($D106,Категории!$A$5:$C$17,3,FALSE()),"п. 21 — по пом. "&amp;$E106)</f>
        <v>п. 6</v>
      </c>
      <c r="H106" s="5" t="n">
        <f aca="false">MAX($F106+15,65)</f>
        <v>75</v>
      </c>
      <c r="I106" s="7" t="str">
        <f aca="false">IF($F106&lt;=65,"упрощённая оценка (п. 6.11.3)","нужен расчёт (прил. В / ПО изготовителя)")</f>
        <v>упрощённая оценка (п. 6.11.3)</v>
      </c>
      <c r="J106" s="7"/>
      <c r="K106" s="11" t="n">
        <f aca="false">VLOOKUP($D106,Категории!$A$5:$C$17,2,FALSE())</f>
        <v>60</v>
      </c>
    </row>
    <row r="107" customFormat="false" ht="15" hidden="false" customHeight="false" outlineLevel="0" collapsed="false">
      <c r="A107" s="5" t="n">
        <v>2</v>
      </c>
      <c r="B107" s="6" t="s">
        <v>173</v>
      </c>
      <c r="C107" s="7" t="s">
        <v>142</v>
      </c>
      <c r="D107" s="8" t="s">
        <v>48</v>
      </c>
      <c r="E107" s="9"/>
      <c r="F107" s="10" t="n">
        <f aca="false">IF($E107="",$K107,MAX($K107,INDEX($K$6:$K$225,MATCH($E107,$B$6:$B$225,0))))</f>
        <v>60</v>
      </c>
      <c r="G107" s="7" t="str">
        <f aca="false">IF($E107="",VLOOKUP($D107,Категории!$A$5:$C$17,3,FALSE()),"п. 21 — по пом. "&amp;$E107)</f>
        <v>п. 6</v>
      </c>
      <c r="H107" s="5" t="n">
        <f aca="false">MAX($F107+15,65)</f>
        <v>75</v>
      </c>
      <c r="I107" s="7" t="str">
        <f aca="false">IF($F107&lt;=65,"упрощённая оценка (п. 6.11.3)","нужен расчёт (прил. В / ПО изготовителя)")</f>
        <v>упрощённая оценка (п. 6.11.3)</v>
      </c>
      <c r="J107" s="7"/>
      <c r="K107" s="11" t="n">
        <f aca="false">VLOOKUP($D107,Категории!$A$5:$C$17,2,FALSE())</f>
        <v>60</v>
      </c>
    </row>
    <row r="108" customFormat="false" ht="15" hidden="false" customHeight="false" outlineLevel="0" collapsed="false">
      <c r="A108" s="5" t="n">
        <v>2</v>
      </c>
      <c r="B108" s="6" t="s">
        <v>174</v>
      </c>
      <c r="C108" s="7" t="s">
        <v>51</v>
      </c>
      <c r="D108" s="8" t="s">
        <v>48</v>
      </c>
      <c r="E108" s="9"/>
      <c r="F108" s="10" t="n">
        <f aca="false">IF($E108="",$K108,MAX($K108,INDEX($K$6:$K$225,MATCH($E108,$B$6:$B$225,0))))</f>
        <v>60</v>
      </c>
      <c r="G108" s="7" t="str">
        <f aca="false">IF($E108="",VLOOKUP($D108,Категории!$A$5:$C$17,3,FALSE()),"п. 21 — по пом. "&amp;$E108)</f>
        <v>п. 6</v>
      </c>
      <c r="H108" s="5" t="n">
        <f aca="false">MAX($F108+15,65)</f>
        <v>75</v>
      </c>
      <c r="I108" s="7" t="str">
        <f aca="false">IF($F108&lt;=65,"упрощённая оценка (п. 6.11.3)","нужен расчёт (прил. В / ПО изготовителя)")</f>
        <v>упрощённая оценка (п. 6.11.3)</v>
      </c>
      <c r="J108" s="7"/>
      <c r="K108" s="11" t="n">
        <f aca="false">VLOOKUP($D108,Категории!$A$5:$C$17,2,FALSE())</f>
        <v>60</v>
      </c>
    </row>
    <row r="109" customFormat="false" ht="15" hidden="false" customHeight="false" outlineLevel="0" collapsed="false">
      <c r="A109" s="5" t="n">
        <v>2</v>
      </c>
      <c r="B109" s="6" t="s">
        <v>175</v>
      </c>
      <c r="C109" s="7" t="s">
        <v>51</v>
      </c>
      <c r="D109" s="8" t="s">
        <v>48</v>
      </c>
      <c r="E109" s="9"/>
      <c r="F109" s="10" t="n">
        <f aca="false">IF($E109="",$K109,MAX($K109,INDEX($K$6:$K$225,MATCH($E109,$B$6:$B$225,0))))</f>
        <v>60</v>
      </c>
      <c r="G109" s="7" t="str">
        <f aca="false">IF($E109="",VLOOKUP($D109,Категории!$A$5:$C$17,3,FALSE()),"п. 21 — по пом. "&amp;$E109)</f>
        <v>п. 6</v>
      </c>
      <c r="H109" s="5" t="n">
        <f aca="false">MAX($F109+15,65)</f>
        <v>75</v>
      </c>
      <c r="I109" s="7" t="str">
        <f aca="false">IF($F109&lt;=65,"упрощённая оценка (п. 6.11.3)","нужен расчёт (прил. В / ПО изготовителя)")</f>
        <v>упрощённая оценка (п. 6.11.3)</v>
      </c>
      <c r="J109" s="7"/>
      <c r="K109" s="11" t="n">
        <f aca="false">VLOOKUP($D109,Категории!$A$5:$C$17,2,FALSE())</f>
        <v>60</v>
      </c>
    </row>
    <row r="110" customFormat="false" ht="15" hidden="false" customHeight="false" outlineLevel="0" collapsed="false">
      <c r="A110" s="5" t="n">
        <v>2</v>
      </c>
      <c r="B110" s="6" t="s">
        <v>176</v>
      </c>
      <c r="C110" s="7" t="s">
        <v>51</v>
      </c>
      <c r="D110" s="8" t="s">
        <v>48</v>
      </c>
      <c r="E110" s="9"/>
      <c r="F110" s="10" t="n">
        <f aca="false">IF($E110="",$K110,MAX($K110,INDEX($K$6:$K$225,MATCH($E110,$B$6:$B$225,0))))</f>
        <v>60</v>
      </c>
      <c r="G110" s="7" t="str">
        <f aca="false">IF($E110="",VLOOKUP($D110,Категории!$A$5:$C$17,3,FALSE()),"п. 21 — по пом. "&amp;$E110)</f>
        <v>п. 6</v>
      </c>
      <c r="H110" s="5" t="n">
        <f aca="false">MAX($F110+15,65)</f>
        <v>75</v>
      </c>
      <c r="I110" s="7" t="str">
        <f aca="false">IF($F110&lt;=65,"упрощённая оценка (п. 6.11.3)","нужен расчёт (прил. В / ПО изготовителя)")</f>
        <v>упрощённая оценка (п. 6.11.3)</v>
      </c>
      <c r="J110" s="7"/>
      <c r="K110" s="11" t="n">
        <f aca="false">VLOOKUP($D110,Категории!$A$5:$C$17,2,FALSE())</f>
        <v>60</v>
      </c>
    </row>
    <row r="111" customFormat="false" ht="15" hidden="false" customHeight="false" outlineLevel="0" collapsed="false">
      <c r="A111" s="5" t="n">
        <v>2</v>
      </c>
      <c r="B111" s="6" t="s">
        <v>177</v>
      </c>
      <c r="C111" s="7" t="s">
        <v>51</v>
      </c>
      <c r="D111" s="8" t="s">
        <v>48</v>
      </c>
      <c r="E111" s="9"/>
      <c r="F111" s="10" t="n">
        <f aca="false">IF($E111="",$K111,MAX($K111,INDEX($K$6:$K$225,MATCH($E111,$B$6:$B$225,0))))</f>
        <v>60</v>
      </c>
      <c r="G111" s="7" t="str">
        <f aca="false">IF($E111="",VLOOKUP($D111,Категории!$A$5:$C$17,3,FALSE()),"п. 21 — по пом. "&amp;$E111)</f>
        <v>п. 6</v>
      </c>
      <c r="H111" s="5" t="n">
        <f aca="false">MAX($F111+15,65)</f>
        <v>75</v>
      </c>
      <c r="I111" s="7" t="str">
        <f aca="false">IF($F111&lt;=65,"упрощённая оценка (п. 6.11.3)","нужен расчёт (прил. В / ПО изготовителя)")</f>
        <v>упрощённая оценка (п. 6.11.3)</v>
      </c>
      <c r="J111" s="7"/>
      <c r="K111" s="11" t="n">
        <f aca="false">VLOOKUP($D111,Категории!$A$5:$C$17,2,FALSE())</f>
        <v>60</v>
      </c>
    </row>
    <row r="112" customFormat="false" ht="15" hidden="false" customHeight="false" outlineLevel="0" collapsed="false">
      <c r="A112" s="5" t="n">
        <v>2</v>
      </c>
      <c r="B112" s="6" t="s">
        <v>178</v>
      </c>
      <c r="C112" s="7" t="s">
        <v>51</v>
      </c>
      <c r="D112" s="8" t="s">
        <v>48</v>
      </c>
      <c r="E112" s="9"/>
      <c r="F112" s="10" t="n">
        <f aca="false">IF($E112="",$K112,MAX($K112,INDEX($K$6:$K$225,MATCH($E112,$B$6:$B$225,0))))</f>
        <v>60</v>
      </c>
      <c r="G112" s="7" t="str">
        <f aca="false">IF($E112="",VLOOKUP($D112,Категории!$A$5:$C$17,3,FALSE()),"п. 21 — по пом. "&amp;$E112)</f>
        <v>п. 6</v>
      </c>
      <c r="H112" s="5" t="n">
        <f aca="false">MAX($F112+15,65)</f>
        <v>75</v>
      </c>
      <c r="I112" s="7" t="str">
        <f aca="false">IF($F112&lt;=65,"упрощённая оценка (п. 6.11.3)","нужен расчёт (прил. В / ПО изготовителя)")</f>
        <v>упрощённая оценка (п. 6.11.3)</v>
      </c>
      <c r="J112" s="7"/>
      <c r="K112" s="11" t="n">
        <f aca="false">VLOOKUP($D112,Категории!$A$5:$C$17,2,FALSE())</f>
        <v>60</v>
      </c>
    </row>
    <row r="113" customFormat="false" ht="15" hidden="false" customHeight="false" outlineLevel="0" collapsed="false">
      <c r="A113" s="5" t="n">
        <v>2</v>
      </c>
      <c r="B113" s="6" t="s">
        <v>179</v>
      </c>
      <c r="C113" s="7" t="s">
        <v>51</v>
      </c>
      <c r="D113" s="8" t="s">
        <v>48</v>
      </c>
      <c r="E113" s="9"/>
      <c r="F113" s="10" t="n">
        <f aca="false">IF($E113="",$K113,MAX($K113,INDEX($K$6:$K$225,MATCH($E113,$B$6:$B$225,0))))</f>
        <v>60</v>
      </c>
      <c r="G113" s="7" t="str">
        <f aca="false">IF($E113="",VLOOKUP($D113,Категории!$A$5:$C$17,3,FALSE()),"п. 21 — по пом. "&amp;$E113)</f>
        <v>п. 6</v>
      </c>
      <c r="H113" s="5" t="n">
        <f aca="false">MAX($F113+15,65)</f>
        <v>75</v>
      </c>
      <c r="I113" s="7" t="str">
        <f aca="false">IF($F113&lt;=65,"упрощённая оценка (п. 6.11.3)","нужен расчёт (прил. В / ПО изготовителя)")</f>
        <v>упрощённая оценка (п. 6.11.3)</v>
      </c>
      <c r="J113" s="7"/>
      <c r="K113" s="11" t="n">
        <f aca="false">VLOOKUP($D113,Категории!$A$5:$C$17,2,FALSE())</f>
        <v>60</v>
      </c>
    </row>
    <row r="114" customFormat="false" ht="15" hidden="false" customHeight="false" outlineLevel="0" collapsed="false">
      <c r="A114" s="5" t="n">
        <v>2</v>
      </c>
      <c r="B114" s="6" t="s">
        <v>180</v>
      </c>
      <c r="C114" s="7" t="s">
        <v>47</v>
      </c>
      <c r="D114" s="8" t="s">
        <v>48</v>
      </c>
      <c r="E114" s="9"/>
      <c r="F114" s="10" t="n">
        <f aca="false">IF($E114="",$K114,MAX($K114,INDEX($K$6:$K$225,MATCH($E114,$B$6:$B$225,0))))</f>
        <v>60</v>
      </c>
      <c r="G114" s="7" t="str">
        <f aca="false">IF($E114="",VLOOKUP($D114,Категории!$A$5:$C$17,3,FALSE()),"п. 21 — по пом. "&amp;$E114)</f>
        <v>п. 6</v>
      </c>
      <c r="H114" s="5" t="n">
        <f aca="false">MAX($F114+15,65)</f>
        <v>75</v>
      </c>
      <c r="I114" s="7" t="str">
        <f aca="false">IF($F114&lt;=65,"упрощённая оценка (п. 6.11.3)","нужен расчёт (прил. В / ПО изготовителя)")</f>
        <v>упрощённая оценка (п. 6.11.3)</v>
      </c>
      <c r="J114" s="7"/>
      <c r="K114" s="11" t="n">
        <f aca="false">VLOOKUP($D114,Категории!$A$5:$C$17,2,FALSE())</f>
        <v>60</v>
      </c>
    </row>
    <row r="115" customFormat="false" ht="15" hidden="false" customHeight="false" outlineLevel="0" collapsed="false">
      <c r="A115" s="5" t="n">
        <v>2</v>
      </c>
      <c r="B115" s="6" t="s">
        <v>181</v>
      </c>
      <c r="C115" s="7" t="s">
        <v>47</v>
      </c>
      <c r="D115" s="8" t="s">
        <v>48</v>
      </c>
      <c r="E115" s="9"/>
      <c r="F115" s="10" t="n">
        <f aca="false">IF($E115="",$K115,MAX($K115,INDEX($K$6:$K$225,MATCH($E115,$B$6:$B$225,0))))</f>
        <v>60</v>
      </c>
      <c r="G115" s="7" t="str">
        <f aca="false">IF($E115="",VLOOKUP($D115,Категории!$A$5:$C$17,3,FALSE()),"п. 21 — по пом. "&amp;$E115)</f>
        <v>п. 6</v>
      </c>
      <c r="H115" s="5" t="n">
        <f aca="false">MAX($F115+15,65)</f>
        <v>75</v>
      </c>
      <c r="I115" s="7" t="str">
        <f aca="false">IF($F115&lt;=65,"упрощённая оценка (п. 6.11.3)","нужен расчёт (прил. В / ПО изготовителя)")</f>
        <v>упрощённая оценка (п. 6.11.3)</v>
      </c>
      <c r="J115" s="7"/>
      <c r="K115" s="11" t="n">
        <f aca="false">VLOOKUP($D115,Категории!$A$5:$C$17,2,FALSE())</f>
        <v>60</v>
      </c>
    </row>
    <row r="116" customFormat="false" ht="15" hidden="false" customHeight="false" outlineLevel="0" collapsed="false">
      <c r="A116" s="5" t="n">
        <v>2</v>
      </c>
      <c r="B116" s="6" t="s">
        <v>182</v>
      </c>
      <c r="C116" s="7" t="s">
        <v>183</v>
      </c>
      <c r="D116" s="8" t="s">
        <v>184</v>
      </c>
      <c r="E116" s="9"/>
      <c r="F116" s="10" t="n">
        <f aca="false">IF($E116="",$K116,MAX($K116,INDEX($K$6:$K$225,MATCH($E116,$B$6:$B$225,0))))</f>
        <v>50</v>
      </c>
      <c r="G116" s="7" t="str">
        <f aca="false">IF($E116="",VLOOKUP($D116,Категории!$A$5:$C$17,3,FALSE()),"п. 21 — по пом. "&amp;$E116)</f>
        <v>п. 5</v>
      </c>
      <c r="H116" s="5" t="n">
        <f aca="false">MAX($F116+15,65)</f>
        <v>65</v>
      </c>
      <c r="I116" s="7" t="str">
        <f aca="false">IF($F116&lt;=65,"упрощённая оценка (п. 6.11.3)","нужен расчёт (прил. В / ПО изготовителя)")</f>
        <v>упрощённая оценка (п. 6.11.3)</v>
      </c>
      <c r="J116" s="7"/>
      <c r="K116" s="11" t="n">
        <f aca="false">VLOOKUP($D116,Категории!$A$5:$C$17,2,FALSE())</f>
        <v>50</v>
      </c>
    </row>
    <row r="117" customFormat="false" ht="15" hidden="false" customHeight="false" outlineLevel="0" collapsed="false">
      <c r="A117" s="5" t="n">
        <v>2</v>
      </c>
      <c r="B117" s="6" t="s">
        <v>185</v>
      </c>
      <c r="C117" s="7" t="s">
        <v>186</v>
      </c>
      <c r="D117" s="8" t="s">
        <v>184</v>
      </c>
      <c r="E117" s="9"/>
      <c r="F117" s="10" t="n">
        <f aca="false">IF($E117="",$K117,MAX($K117,INDEX($K$6:$K$225,MATCH($E117,$B$6:$B$225,0))))</f>
        <v>50</v>
      </c>
      <c r="G117" s="7" t="str">
        <f aca="false">IF($E117="",VLOOKUP($D117,Категории!$A$5:$C$17,3,FALSE()),"п. 21 — по пом. "&amp;$E117)</f>
        <v>п. 5</v>
      </c>
      <c r="H117" s="5" t="n">
        <f aca="false">MAX($F117+15,65)</f>
        <v>65</v>
      </c>
      <c r="I117" s="7" t="str">
        <f aca="false">IF($F117&lt;=65,"упрощённая оценка (п. 6.11.3)","нужен расчёт (прил. В / ПО изготовителя)")</f>
        <v>упрощённая оценка (п. 6.11.3)</v>
      </c>
      <c r="J117" s="7"/>
      <c r="K117" s="11" t="n">
        <f aca="false">VLOOKUP($D117,Категории!$A$5:$C$17,2,FALSE())</f>
        <v>50</v>
      </c>
    </row>
    <row r="118" customFormat="false" ht="15" hidden="false" customHeight="false" outlineLevel="0" collapsed="false">
      <c r="A118" s="5" t="n">
        <v>2</v>
      </c>
      <c r="B118" s="6" t="s">
        <v>187</v>
      </c>
      <c r="C118" s="7" t="s">
        <v>51</v>
      </c>
      <c r="D118" s="8" t="s">
        <v>48</v>
      </c>
      <c r="E118" s="9"/>
      <c r="F118" s="10" t="n">
        <f aca="false">IF($E118="",$K118,MAX($K118,INDEX($K$6:$K$225,MATCH($E118,$B$6:$B$225,0))))</f>
        <v>60</v>
      </c>
      <c r="G118" s="7" t="str">
        <f aca="false">IF($E118="",VLOOKUP($D118,Категории!$A$5:$C$17,3,FALSE()),"п. 21 — по пом. "&amp;$E118)</f>
        <v>п. 6</v>
      </c>
      <c r="H118" s="5" t="n">
        <f aca="false">MAX($F118+15,65)</f>
        <v>75</v>
      </c>
      <c r="I118" s="7" t="str">
        <f aca="false">IF($F118&lt;=65,"упрощённая оценка (п. 6.11.3)","нужен расчёт (прил. В / ПО изготовителя)")</f>
        <v>упрощённая оценка (п. 6.11.3)</v>
      </c>
      <c r="J118" s="7"/>
      <c r="K118" s="11" t="n">
        <f aca="false">VLOOKUP($D118,Категории!$A$5:$C$17,2,FALSE())</f>
        <v>60</v>
      </c>
    </row>
    <row r="119" customFormat="false" ht="15" hidden="false" customHeight="false" outlineLevel="0" collapsed="false">
      <c r="A119" s="5" t="n">
        <v>2</v>
      </c>
      <c r="B119" s="6" t="s">
        <v>188</v>
      </c>
      <c r="C119" s="7" t="s">
        <v>26</v>
      </c>
      <c r="D119" s="8" t="s">
        <v>27</v>
      </c>
      <c r="E119" s="9"/>
      <c r="F119" s="10" t="n">
        <f aca="false">IF($E119="",$K119,MAX($K119,INDEX($K$6:$K$225,MATCH($E119,$B$6:$B$225,0))))</f>
        <v>60</v>
      </c>
      <c r="G119" s="7" t="str">
        <f aca="false">IF($E119="",VLOOKUP($D119,Категории!$A$5:$C$17,3,FALSE()),"п. 21 — по пом. "&amp;$E119)</f>
        <v>п. 21</v>
      </c>
      <c r="H119" s="5" t="n">
        <f aca="false">MAX($F119+15,65)</f>
        <v>75</v>
      </c>
      <c r="I119" s="7" t="str">
        <f aca="false">IF($F119&lt;=65,"упрощённая оценка (п. 6.11.3)","нужен расчёт (прил. В / ПО изготовителя)")</f>
        <v>упрощённая оценка (п. 6.11.3)</v>
      </c>
      <c r="J119" s="7"/>
      <c r="K119" s="11" t="n">
        <f aca="false">VLOOKUP($D119,Категории!$A$5:$C$17,2,FALSE())</f>
        <v>60</v>
      </c>
    </row>
    <row r="120" customFormat="false" ht="15" hidden="false" customHeight="false" outlineLevel="0" collapsed="false">
      <c r="A120" s="5" t="n">
        <v>2</v>
      </c>
      <c r="B120" s="6" t="s">
        <v>189</v>
      </c>
      <c r="C120" s="7" t="s">
        <v>47</v>
      </c>
      <c r="D120" s="8" t="s">
        <v>48</v>
      </c>
      <c r="E120" s="9"/>
      <c r="F120" s="10" t="n">
        <f aca="false">IF($E120="",$K120,MAX($K120,INDEX($K$6:$K$225,MATCH($E120,$B$6:$B$225,0))))</f>
        <v>60</v>
      </c>
      <c r="G120" s="7" t="str">
        <f aca="false">IF($E120="",VLOOKUP($D120,Категории!$A$5:$C$17,3,FALSE()),"п. 21 — по пом. "&amp;$E120)</f>
        <v>п. 6</v>
      </c>
      <c r="H120" s="5" t="n">
        <f aca="false">MAX($F120+15,65)</f>
        <v>75</v>
      </c>
      <c r="I120" s="7" t="str">
        <f aca="false">IF($F120&lt;=65,"упрощённая оценка (п. 6.11.3)","нужен расчёт (прил. В / ПО изготовителя)")</f>
        <v>упрощённая оценка (п. 6.11.3)</v>
      </c>
      <c r="J120" s="7"/>
      <c r="K120" s="11" t="n">
        <f aca="false">VLOOKUP($D120,Категории!$A$5:$C$17,2,FALSE())</f>
        <v>60</v>
      </c>
    </row>
    <row r="121" customFormat="false" ht="15" hidden="false" customHeight="false" outlineLevel="0" collapsed="false">
      <c r="A121" s="5" t="n">
        <v>2</v>
      </c>
      <c r="B121" s="6" t="s">
        <v>190</v>
      </c>
      <c r="C121" s="7" t="s">
        <v>51</v>
      </c>
      <c r="D121" s="8" t="s">
        <v>48</v>
      </c>
      <c r="E121" s="9"/>
      <c r="F121" s="10" t="n">
        <f aca="false">IF($E121="",$K121,MAX($K121,INDEX($K$6:$K$225,MATCH($E121,$B$6:$B$225,0))))</f>
        <v>60</v>
      </c>
      <c r="G121" s="7" t="str">
        <f aca="false">IF($E121="",VLOOKUP($D121,Категории!$A$5:$C$17,3,FALSE()),"п. 21 — по пом. "&amp;$E121)</f>
        <v>п. 6</v>
      </c>
      <c r="H121" s="5" t="n">
        <f aca="false">MAX($F121+15,65)</f>
        <v>75</v>
      </c>
      <c r="I121" s="7" t="str">
        <f aca="false">IF($F121&lt;=65,"упрощённая оценка (п. 6.11.3)","нужен расчёт (прил. В / ПО изготовителя)")</f>
        <v>упрощённая оценка (п. 6.11.3)</v>
      </c>
      <c r="J121" s="7"/>
      <c r="K121" s="11" t="n">
        <f aca="false">VLOOKUP($D121,Категории!$A$5:$C$17,2,FALSE())</f>
        <v>60</v>
      </c>
    </row>
    <row r="122" customFormat="false" ht="15" hidden="false" customHeight="false" outlineLevel="0" collapsed="false">
      <c r="A122" s="5" t="n">
        <v>2</v>
      </c>
      <c r="B122" s="6" t="s">
        <v>191</v>
      </c>
      <c r="C122" s="7" t="s">
        <v>51</v>
      </c>
      <c r="D122" s="8" t="s">
        <v>48</v>
      </c>
      <c r="E122" s="9"/>
      <c r="F122" s="10" t="n">
        <f aca="false">IF($E122="",$K122,MAX($K122,INDEX($K$6:$K$225,MATCH($E122,$B$6:$B$225,0))))</f>
        <v>60</v>
      </c>
      <c r="G122" s="7" t="str">
        <f aca="false">IF($E122="",VLOOKUP($D122,Категории!$A$5:$C$17,3,FALSE()),"п. 21 — по пом. "&amp;$E122)</f>
        <v>п. 6</v>
      </c>
      <c r="H122" s="5" t="n">
        <f aca="false">MAX($F122+15,65)</f>
        <v>75</v>
      </c>
      <c r="I122" s="7" t="str">
        <f aca="false">IF($F122&lt;=65,"упрощённая оценка (п. 6.11.3)","нужен расчёт (прил. В / ПО изготовителя)")</f>
        <v>упрощённая оценка (п. 6.11.3)</v>
      </c>
      <c r="J122" s="7"/>
      <c r="K122" s="11" t="n">
        <f aca="false">VLOOKUP($D122,Категории!$A$5:$C$17,2,FALSE())</f>
        <v>60</v>
      </c>
    </row>
    <row r="123" customFormat="false" ht="15" hidden="false" customHeight="false" outlineLevel="0" collapsed="false">
      <c r="A123" s="5" t="n">
        <v>2</v>
      </c>
      <c r="B123" s="6" t="s">
        <v>192</v>
      </c>
      <c r="C123" s="7" t="s">
        <v>51</v>
      </c>
      <c r="D123" s="8" t="s">
        <v>48</v>
      </c>
      <c r="E123" s="9"/>
      <c r="F123" s="10" t="n">
        <f aca="false">IF($E123="",$K123,MAX($K123,INDEX($K$6:$K$225,MATCH($E123,$B$6:$B$225,0))))</f>
        <v>60</v>
      </c>
      <c r="G123" s="7" t="str">
        <f aca="false">IF($E123="",VLOOKUP($D123,Категории!$A$5:$C$17,3,FALSE()),"п. 21 — по пом. "&amp;$E123)</f>
        <v>п. 6</v>
      </c>
      <c r="H123" s="5" t="n">
        <f aca="false">MAX($F123+15,65)</f>
        <v>75</v>
      </c>
      <c r="I123" s="7" t="str">
        <f aca="false">IF($F123&lt;=65,"упрощённая оценка (п. 6.11.3)","нужен расчёт (прил. В / ПО изготовителя)")</f>
        <v>упрощённая оценка (п. 6.11.3)</v>
      </c>
      <c r="J123" s="7"/>
      <c r="K123" s="11" t="n">
        <f aca="false">VLOOKUP($D123,Категории!$A$5:$C$17,2,FALSE())</f>
        <v>60</v>
      </c>
    </row>
    <row r="124" customFormat="false" ht="15" hidden="false" customHeight="false" outlineLevel="0" collapsed="false">
      <c r="A124" s="5" t="n">
        <v>2</v>
      </c>
      <c r="B124" s="6" t="s">
        <v>193</v>
      </c>
      <c r="C124" s="7" t="s">
        <v>98</v>
      </c>
      <c r="D124" s="8" t="s">
        <v>99</v>
      </c>
      <c r="E124" s="9"/>
      <c r="F124" s="10" t="n">
        <f aca="false">IF($E124="",$K124,MAX($K124,INDEX($K$6:$K$225,MATCH($E124,$B$6:$B$225,0))))</f>
        <v>55</v>
      </c>
      <c r="G124" s="7" t="str">
        <f aca="false">IF($E124="",VLOOKUP($D124,Категории!$A$5:$C$17,3,FALSE()),"п. 21 — по пом. "&amp;$E124)</f>
        <v>п. 28</v>
      </c>
      <c r="H124" s="5" t="n">
        <f aca="false">MAX($F124+15,65)</f>
        <v>70</v>
      </c>
      <c r="I124" s="7" t="str">
        <f aca="false">IF($F124&lt;=65,"упрощённая оценка (п. 6.11.3)","нужен расчёт (прил. В / ПО изготовителя)")</f>
        <v>упрощённая оценка (п. 6.11.3)</v>
      </c>
      <c r="J124" s="7"/>
      <c r="K124" s="11" t="n">
        <f aca="false">VLOOKUP($D124,Категории!$A$5:$C$17,2,FALSE())</f>
        <v>55</v>
      </c>
    </row>
    <row r="125" customFormat="false" ht="15" hidden="false" customHeight="false" outlineLevel="0" collapsed="false">
      <c r="A125" s="5" t="n">
        <v>2</v>
      </c>
      <c r="B125" s="6" t="s">
        <v>194</v>
      </c>
      <c r="C125" s="7" t="s">
        <v>26</v>
      </c>
      <c r="D125" s="8" t="s">
        <v>27</v>
      </c>
      <c r="E125" s="9"/>
      <c r="F125" s="10" t="n">
        <f aca="false">IF($E125="",$K125,MAX($K125,INDEX($K$6:$K$225,MATCH($E125,$B$6:$B$225,0))))</f>
        <v>60</v>
      </c>
      <c r="G125" s="7" t="str">
        <f aca="false">IF($E125="",VLOOKUP($D125,Категории!$A$5:$C$17,3,FALSE()),"п. 21 — по пом. "&amp;$E125)</f>
        <v>п. 21</v>
      </c>
      <c r="H125" s="5" t="n">
        <f aca="false">MAX($F125+15,65)</f>
        <v>75</v>
      </c>
      <c r="I125" s="7" t="str">
        <f aca="false">IF($F125&lt;=65,"упрощённая оценка (п. 6.11.3)","нужен расчёт (прил. В / ПО изготовителя)")</f>
        <v>упрощённая оценка (п. 6.11.3)</v>
      </c>
      <c r="J125" s="7"/>
      <c r="K125" s="11" t="n">
        <f aca="false">VLOOKUP($D125,Категории!$A$5:$C$17,2,FALSE())</f>
        <v>60</v>
      </c>
    </row>
    <row r="126" customFormat="false" ht="15" hidden="false" customHeight="false" outlineLevel="0" collapsed="false">
      <c r="A126" s="5" t="n">
        <v>2</v>
      </c>
      <c r="B126" s="6" t="s">
        <v>195</v>
      </c>
      <c r="C126" s="7" t="s">
        <v>98</v>
      </c>
      <c r="D126" s="8" t="s">
        <v>99</v>
      </c>
      <c r="E126" s="9"/>
      <c r="F126" s="10" t="n">
        <f aca="false">IF($E126="",$K126,MAX($K126,INDEX($K$6:$K$225,MATCH($E126,$B$6:$B$225,0))))</f>
        <v>55</v>
      </c>
      <c r="G126" s="7" t="str">
        <f aca="false">IF($E126="",VLOOKUP($D126,Категории!$A$5:$C$17,3,FALSE()),"п. 21 — по пом. "&amp;$E126)</f>
        <v>п. 28</v>
      </c>
      <c r="H126" s="5" t="n">
        <f aca="false">MAX($F126+15,65)</f>
        <v>70</v>
      </c>
      <c r="I126" s="7" t="str">
        <f aca="false">IF($F126&lt;=65,"упрощённая оценка (п. 6.11.3)","нужен расчёт (прил. В / ПО изготовителя)")</f>
        <v>упрощённая оценка (п. 6.11.3)</v>
      </c>
      <c r="J126" s="7"/>
      <c r="K126" s="11" t="n">
        <f aca="false">VLOOKUP($D126,Категории!$A$5:$C$17,2,FALSE())</f>
        <v>55</v>
      </c>
    </row>
    <row r="127" customFormat="false" ht="15" hidden="false" customHeight="false" outlineLevel="0" collapsed="false">
      <c r="A127" s="5" t="n">
        <v>2</v>
      </c>
      <c r="B127" s="6" t="s">
        <v>196</v>
      </c>
      <c r="C127" s="7" t="s">
        <v>26</v>
      </c>
      <c r="D127" s="8" t="s">
        <v>27</v>
      </c>
      <c r="E127" s="9"/>
      <c r="F127" s="10" t="n">
        <f aca="false">IF($E127="",$K127,MAX($K127,INDEX($K$6:$K$225,MATCH($E127,$B$6:$B$225,0))))</f>
        <v>60</v>
      </c>
      <c r="G127" s="7" t="str">
        <f aca="false">IF($E127="",VLOOKUP($D127,Категории!$A$5:$C$17,3,FALSE()),"п. 21 — по пом. "&amp;$E127)</f>
        <v>п. 21</v>
      </c>
      <c r="H127" s="5" t="n">
        <f aca="false">MAX($F127+15,65)</f>
        <v>75</v>
      </c>
      <c r="I127" s="7" t="str">
        <f aca="false">IF($F127&lt;=65,"упрощённая оценка (п. 6.11.3)","нужен расчёт (прил. В / ПО изготовителя)")</f>
        <v>упрощённая оценка (п. 6.11.3)</v>
      </c>
      <c r="J127" s="7"/>
      <c r="K127" s="11" t="n">
        <f aca="false">VLOOKUP($D127,Категории!$A$5:$C$17,2,FALSE())</f>
        <v>60</v>
      </c>
    </row>
    <row r="128" customFormat="false" ht="15" hidden="false" customHeight="false" outlineLevel="0" collapsed="false">
      <c r="A128" s="5" t="n">
        <v>2</v>
      </c>
      <c r="B128" s="6" t="s">
        <v>197</v>
      </c>
      <c r="C128" s="7" t="s">
        <v>98</v>
      </c>
      <c r="D128" s="8" t="s">
        <v>99</v>
      </c>
      <c r="E128" s="9"/>
      <c r="F128" s="10" t="n">
        <f aca="false">IF($E128="",$K128,MAX($K128,INDEX($K$6:$K$225,MATCH($E128,$B$6:$B$225,0))))</f>
        <v>55</v>
      </c>
      <c r="G128" s="7" t="str">
        <f aca="false">IF($E128="",VLOOKUP($D128,Категории!$A$5:$C$17,3,FALSE()),"п. 21 — по пом. "&amp;$E128)</f>
        <v>п. 28</v>
      </c>
      <c r="H128" s="5" t="n">
        <f aca="false">MAX($F128+15,65)</f>
        <v>70</v>
      </c>
      <c r="I128" s="7" t="str">
        <f aca="false">IF($F128&lt;=65,"упрощённая оценка (п. 6.11.3)","нужен расчёт (прил. В / ПО изготовителя)")</f>
        <v>упрощённая оценка (п. 6.11.3)</v>
      </c>
      <c r="J128" s="7"/>
      <c r="K128" s="11" t="n">
        <f aca="false">VLOOKUP($D128,Категории!$A$5:$C$17,2,FALSE())</f>
        <v>55</v>
      </c>
    </row>
    <row r="129" customFormat="false" ht="15" hidden="false" customHeight="false" outlineLevel="0" collapsed="false">
      <c r="A129" s="5" t="n">
        <v>2</v>
      </c>
      <c r="B129" s="6" t="s">
        <v>198</v>
      </c>
      <c r="C129" s="7" t="s">
        <v>26</v>
      </c>
      <c r="D129" s="8" t="s">
        <v>27</v>
      </c>
      <c r="E129" s="9"/>
      <c r="F129" s="10" t="n">
        <f aca="false">IF($E129="",$K129,MAX($K129,INDEX($K$6:$K$225,MATCH($E129,$B$6:$B$225,0))))</f>
        <v>60</v>
      </c>
      <c r="G129" s="7" t="str">
        <f aca="false">IF($E129="",VLOOKUP($D129,Категории!$A$5:$C$17,3,FALSE()),"п. 21 — по пом. "&amp;$E129)</f>
        <v>п. 21</v>
      </c>
      <c r="H129" s="5" t="n">
        <f aca="false">MAX($F129+15,65)</f>
        <v>75</v>
      </c>
      <c r="I129" s="7" t="str">
        <f aca="false">IF($F129&lt;=65,"упрощённая оценка (п. 6.11.3)","нужен расчёт (прил. В / ПО изготовителя)")</f>
        <v>упрощённая оценка (п. 6.11.3)</v>
      </c>
      <c r="J129" s="7"/>
      <c r="K129" s="11" t="n">
        <f aca="false">VLOOKUP($D129,Категории!$A$5:$C$17,2,FALSE())</f>
        <v>60</v>
      </c>
    </row>
    <row r="130" customFormat="false" ht="15" hidden="false" customHeight="false" outlineLevel="0" collapsed="false">
      <c r="A130" s="5" t="n">
        <v>2</v>
      </c>
      <c r="B130" s="6" t="s">
        <v>199</v>
      </c>
      <c r="C130" s="7" t="s">
        <v>34</v>
      </c>
      <c r="D130" s="8" t="s">
        <v>27</v>
      </c>
      <c r="E130" s="9"/>
      <c r="F130" s="10" t="n">
        <f aca="false">IF($E130="",$K130,MAX($K130,INDEX($K$6:$K$225,MATCH($E130,$B$6:$B$225,0))))</f>
        <v>60</v>
      </c>
      <c r="G130" s="7" t="str">
        <f aca="false">IF($E130="",VLOOKUP($D130,Категории!$A$5:$C$17,3,FALSE()),"п. 21 — по пом. "&amp;$E130)</f>
        <v>п. 21</v>
      </c>
      <c r="H130" s="5" t="n">
        <f aca="false">MAX($F130+15,65)</f>
        <v>75</v>
      </c>
      <c r="I130" s="7" t="str">
        <f aca="false">IF($F130&lt;=65,"упрощённая оценка (п. 6.11.3)","нужен расчёт (прил. В / ПО изготовителя)")</f>
        <v>упрощённая оценка (п. 6.11.3)</v>
      </c>
      <c r="J130" s="7"/>
      <c r="K130" s="11" t="n">
        <f aca="false">VLOOKUP($D130,Категории!$A$5:$C$17,2,FALSE())</f>
        <v>60</v>
      </c>
    </row>
    <row r="131" customFormat="false" ht="15" hidden="false" customHeight="false" outlineLevel="0" collapsed="false">
      <c r="A131" s="5" t="n">
        <v>2</v>
      </c>
      <c r="B131" s="6" t="s">
        <v>200</v>
      </c>
      <c r="C131" s="7" t="s">
        <v>201</v>
      </c>
      <c r="D131" s="8" t="s">
        <v>37</v>
      </c>
      <c r="E131" s="9"/>
      <c r="F131" s="10" t="n">
        <f aca="false">IF($E131="",$K131,MAX($K131,INDEX($K$6:$K$225,MATCH($E131,$B$6:$B$225,0))))</f>
        <v>60</v>
      </c>
      <c r="G131" s="7" t="str">
        <f aca="false">IF($E131="",VLOOKUP($D131,Категории!$A$5:$C$17,3,FALSE()),"п. 21 — по пом. "&amp;$E131)</f>
        <v>по аналогии с п. 6</v>
      </c>
      <c r="H131" s="5" t="n">
        <f aca="false">MAX($F131+15,65)</f>
        <v>75</v>
      </c>
      <c r="I131" s="7" t="str">
        <f aca="false">IF($F131&lt;=65,"упрощённая оценка (п. 6.11.3)","нужен расчёт (прил. В / ПО изготовителя)")</f>
        <v>упрощённая оценка (п. 6.11.3)</v>
      </c>
      <c r="J131" s="7"/>
      <c r="K131" s="11" t="n">
        <f aca="false">VLOOKUP($D131,Категории!$A$5:$C$17,2,FALSE())</f>
        <v>60</v>
      </c>
    </row>
    <row r="132" customFormat="false" ht="15" hidden="false" customHeight="false" outlineLevel="0" collapsed="false">
      <c r="A132" s="5" t="n">
        <v>2</v>
      </c>
      <c r="B132" s="6" t="s">
        <v>202</v>
      </c>
      <c r="C132" s="7" t="s">
        <v>201</v>
      </c>
      <c r="D132" s="8" t="s">
        <v>37</v>
      </c>
      <c r="E132" s="9"/>
      <c r="F132" s="10" t="n">
        <f aca="false">IF($E132="",$K132,MAX($K132,INDEX($K$6:$K$225,MATCH($E132,$B$6:$B$225,0))))</f>
        <v>60</v>
      </c>
      <c r="G132" s="7" t="str">
        <f aca="false">IF($E132="",VLOOKUP($D132,Категории!$A$5:$C$17,3,FALSE()),"п. 21 — по пом. "&amp;$E132)</f>
        <v>по аналогии с п. 6</v>
      </c>
      <c r="H132" s="5" t="n">
        <f aca="false">MAX($F132+15,65)</f>
        <v>75</v>
      </c>
      <c r="I132" s="7" t="str">
        <f aca="false">IF($F132&lt;=65,"упрощённая оценка (п. 6.11.3)","нужен расчёт (прил. В / ПО изготовителя)")</f>
        <v>упрощённая оценка (п. 6.11.3)</v>
      </c>
      <c r="J132" s="7"/>
      <c r="K132" s="11" t="n">
        <f aca="false">VLOOKUP($D132,Категории!$A$5:$C$17,2,FALSE())</f>
        <v>60</v>
      </c>
    </row>
    <row r="133" customFormat="false" ht="15" hidden="false" customHeight="false" outlineLevel="0" collapsed="false">
      <c r="A133" s="5" t="n">
        <v>2</v>
      </c>
      <c r="B133" s="6" t="s">
        <v>203</v>
      </c>
      <c r="C133" s="7" t="s">
        <v>26</v>
      </c>
      <c r="D133" s="8" t="s">
        <v>27</v>
      </c>
      <c r="E133" s="9"/>
      <c r="F133" s="10" t="n">
        <f aca="false">IF($E133="",$K133,MAX($K133,INDEX($K$6:$K$225,MATCH($E133,$B$6:$B$225,0))))</f>
        <v>60</v>
      </c>
      <c r="G133" s="7" t="str">
        <f aca="false">IF($E133="",VLOOKUP($D133,Категории!$A$5:$C$17,3,FALSE()),"п. 21 — по пом. "&amp;$E133)</f>
        <v>п. 21</v>
      </c>
      <c r="H133" s="5" t="n">
        <f aca="false">MAX($F133+15,65)</f>
        <v>75</v>
      </c>
      <c r="I133" s="7" t="str">
        <f aca="false">IF($F133&lt;=65,"упрощённая оценка (п. 6.11.3)","нужен расчёт (прил. В / ПО изготовителя)")</f>
        <v>упрощённая оценка (п. 6.11.3)</v>
      </c>
      <c r="J133" s="7"/>
      <c r="K133" s="11" t="n">
        <f aca="false">VLOOKUP($D133,Категории!$A$5:$C$17,2,FALSE())</f>
        <v>60</v>
      </c>
    </row>
    <row r="134" customFormat="false" ht="15" hidden="false" customHeight="false" outlineLevel="0" collapsed="false">
      <c r="A134" s="5" t="n">
        <v>2</v>
      </c>
      <c r="B134" s="6" t="s">
        <v>204</v>
      </c>
      <c r="C134" s="7" t="s">
        <v>205</v>
      </c>
      <c r="D134" s="8" t="s">
        <v>37</v>
      </c>
      <c r="E134" s="9"/>
      <c r="F134" s="10" t="n">
        <f aca="false">IF($E134="",$K134,MAX($K134,INDEX($K$6:$K$225,MATCH($E134,$B$6:$B$225,0))))</f>
        <v>60</v>
      </c>
      <c r="G134" s="7" t="str">
        <f aca="false">IF($E134="",VLOOKUP($D134,Категории!$A$5:$C$17,3,FALSE()),"п. 21 — по пом. "&amp;$E134)</f>
        <v>по аналогии с п. 6</v>
      </c>
      <c r="H134" s="5" t="n">
        <f aca="false">MAX($F134+15,65)</f>
        <v>75</v>
      </c>
      <c r="I134" s="7" t="str">
        <f aca="false">IF($F134&lt;=65,"упрощённая оценка (п. 6.11.3)","нужен расчёт (прил. В / ПО изготовителя)")</f>
        <v>упрощённая оценка (п. 6.11.3)</v>
      </c>
      <c r="J134" s="7"/>
      <c r="K134" s="11" t="n">
        <f aca="false">VLOOKUP($D134,Категории!$A$5:$C$17,2,FALSE())</f>
        <v>60</v>
      </c>
    </row>
    <row r="135" customFormat="false" ht="15" hidden="false" customHeight="false" outlineLevel="0" collapsed="false">
      <c r="A135" s="5" t="n">
        <v>2</v>
      </c>
      <c r="B135" s="6" t="s">
        <v>206</v>
      </c>
      <c r="C135" s="7" t="s">
        <v>47</v>
      </c>
      <c r="D135" s="8" t="s">
        <v>48</v>
      </c>
      <c r="E135" s="9"/>
      <c r="F135" s="10" t="n">
        <f aca="false">IF($E135="",$K135,MAX($K135,INDEX($K$6:$K$225,MATCH($E135,$B$6:$B$225,0))))</f>
        <v>60</v>
      </c>
      <c r="G135" s="7" t="str">
        <f aca="false">IF($E135="",VLOOKUP($D135,Категории!$A$5:$C$17,3,FALSE()),"п. 21 — по пом. "&amp;$E135)</f>
        <v>п. 6</v>
      </c>
      <c r="H135" s="5" t="n">
        <f aca="false">MAX($F135+15,65)</f>
        <v>75</v>
      </c>
      <c r="I135" s="7" t="str">
        <f aca="false">IF($F135&lt;=65,"упрощённая оценка (п. 6.11.3)","нужен расчёт (прил. В / ПО изготовителя)")</f>
        <v>упрощённая оценка (п. 6.11.3)</v>
      </c>
      <c r="J135" s="7"/>
      <c r="K135" s="11" t="n">
        <f aca="false">VLOOKUP($D135,Категории!$A$5:$C$17,2,FALSE())</f>
        <v>60</v>
      </c>
    </row>
    <row r="136" customFormat="false" ht="23.85" hidden="false" customHeight="false" outlineLevel="0" collapsed="false">
      <c r="A136" s="5" t="n">
        <v>2</v>
      </c>
      <c r="B136" s="6" t="s">
        <v>207</v>
      </c>
      <c r="C136" s="7" t="s">
        <v>208</v>
      </c>
      <c r="D136" s="8" t="s">
        <v>64</v>
      </c>
      <c r="E136" s="9"/>
      <c r="F136" s="10" t="n">
        <f aca="false">IF($E136="",$K136,MAX($K136,INDEX($K$6:$K$225,MATCH($E136,$B$6:$B$225,0))))</f>
        <v>70</v>
      </c>
      <c r="G136" s="7" t="str">
        <f aca="false">IF($E136="",VLOOKUP($D136,Категории!$A$5:$C$17,3,FALSE()),"п. 21 — по пом. "&amp;$E136)</f>
        <v>п. 16</v>
      </c>
      <c r="H136" s="5" t="n">
        <f aca="false">MAX($F136+15,65)</f>
        <v>85</v>
      </c>
      <c r="I136" s="7" t="str">
        <f aca="false">IF($F136&lt;=65,"упрощённая оценка (п. 6.11.3)","нужен расчёт (прил. В / ПО изготовителя)")</f>
        <v>нужен расчёт (прил. В / ПО изготовителя)</v>
      </c>
      <c r="J136" s="7" t="s">
        <v>209</v>
      </c>
      <c r="K136" s="11" t="n">
        <f aca="false">VLOOKUP($D136,Категории!$A$5:$C$17,2,FALSE())</f>
        <v>70</v>
      </c>
    </row>
    <row r="137" customFormat="false" ht="23.85" hidden="false" customHeight="false" outlineLevel="0" collapsed="false">
      <c r="A137" s="5" t="n">
        <v>2</v>
      </c>
      <c r="B137" s="6" t="s">
        <v>210</v>
      </c>
      <c r="C137" s="7" t="s">
        <v>26</v>
      </c>
      <c r="D137" s="8" t="s">
        <v>27</v>
      </c>
      <c r="E137" s="9" t="s">
        <v>211</v>
      </c>
      <c r="F137" s="10" t="n">
        <f aca="false">IF($E137="",$K137,MAX($K137,INDEX($K$6:$K$225,MATCH($E137,$B$6:$B$225,0))))</f>
        <v>80</v>
      </c>
      <c r="G137" s="7" t="str">
        <f aca="false">IF($E137="",VLOOKUP($D137,Категории!$A$5:$C$17,3,FALSE()),"п. 21 — по пом. "&amp;$E137)</f>
        <v>п. 21 — по пом. 132</v>
      </c>
      <c r="H137" s="5" t="n">
        <f aca="false">MAX($F137+15,65)</f>
        <v>95</v>
      </c>
      <c r="I137" s="7" t="str">
        <f aca="false">IF($F137&lt;=65,"упрощённая оценка (п. 6.11.3)","нужен расчёт (прил. В / ПО изготовителя)")</f>
        <v>нужен расчёт (прил. В / ПО изготовителя)</v>
      </c>
      <c r="J137" s="7" t="s">
        <v>212</v>
      </c>
      <c r="K137" s="11" t="n">
        <f aca="false">VLOOKUP($D137,Категории!$A$5:$C$17,2,FALSE())</f>
        <v>60</v>
      </c>
    </row>
    <row r="138" customFormat="false" ht="15" hidden="false" customHeight="false" outlineLevel="0" collapsed="false">
      <c r="A138" s="5" t="n">
        <v>2</v>
      </c>
      <c r="B138" s="6" t="s">
        <v>213</v>
      </c>
      <c r="C138" s="7" t="s">
        <v>36</v>
      </c>
      <c r="D138" s="8" t="s">
        <v>37</v>
      </c>
      <c r="E138" s="9"/>
      <c r="F138" s="10" t="n">
        <f aca="false">IF($E138="",$K138,MAX($K138,INDEX($K$6:$K$225,MATCH($E138,$B$6:$B$225,0))))</f>
        <v>60</v>
      </c>
      <c r="G138" s="7" t="str">
        <f aca="false">IF($E138="",VLOOKUP($D138,Категории!$A$5:$C$17,3,FALSE()),"п. 21 — по пом. "&amp;$E138)</f>
        <v>по аналогии с п. 6</v>
      </c>
      <c r="H138" s="5" t="n">
        <f aca="false">MAX($F138+15,65)</f>
        <v>75</v>
      </c>
      <c r="I138" s="7" t="str">
        <f aca="false">IF($F138&lt;=65,"упрощённая оценка (п. 6.11.3)","нужен расчёт (прил. В / ПО изготовителя)")</f>
        <v>упрощённая оценка (п. 6.11.3)</v>
      </c>
      <c r="J138" s="7"/>
      <c r="K138" s="11" t="n">
        <f aca="false">VLOOKUP($D138,Категории!$A$5:$C$17,2,FALSE())</f>
        <v>60</v>
      </c>
    </row>
    <row r="139" customFormat="false" ht="23.85" hidden="false" customHeight="false" outlineLevel="0" collapsed="false">
      <c r="A139" s="5" t="n">
        <v>2</v>
      </c>
      <c r="B139" s="6" t="s">
        <v>211</v>
      </c>
      <c r="C139" s="7" t="s">
        <v>214</v>
      </c>
      <c r="D139" s="8" t="s">
        <v>214</v>
      </c>
      <c r="E139" s="9"/>
      <c r="F139" s="10" t="n">
        <f aca="false">IF($E139="",$K139,MAX($K139,INDEX($K$6:$K$225,MATCH($E139,$B$6:$B$225,0))))</f>
        <v>80</v>
      </c>
      <c r="G139" s="7" t="str">
        <f aca="false">IF($E139="",VLOOKUP($D139,Категории!$A$5:$C$17,3,FALSE()),"п. 21 — по пом. "&amp;$E139)</f>
        <v>п. 23</v>
      </c>
      <c r="H139" s="5" t="n">
        <f aca="false">MAX($F139+15,65)</f>
        <v>95</v>
      </c>
      <c r="I139" s="7" t="str">
        <f aca="false">IF($F139&lt;=65,"упрощённая оценка (п. 6.11.3)","нужен расчёт (прил. В / ПО изготовителя)")</f>
        <v>нужен расчёт (прил. В / ПО изготовителя)</v>
      </c>
      <c r="J139" s="7" t="s">
        <v>122</v>
      </c>
      <c r="K139" s="11" t="n">
        <f aca="false">VLOOKUP($D139,Категории!$A$5:$C$17,2,FALSE())</f>
        <v>80</v>
      </c>
    </row>
    <row r="140" customFormat="false" ht="15" hidden="false" customHeight="false" outlineLevel="0" collapsed="false">
      <c r="A140" s="5" t="n">
        <v>2</v>
      </c>
      <c r="B140" s="6" t="s">
        <v>215</v>
      </c>
      <c r="C140" s="7" t="s">
        <v>36</v>
      </c>
      <c r="D140" s="8" t="s">
        <v>37</v>
      </c>
      <c r="E140" s="9"/>
      <c r="F140" s="10" t="n">
        <f aca="false">IF($E140="",$K140,MAX($K140,INDEX($K$6:$K$225,MATCH($E140,$B$6:$B$225,0))))</f>
        <v>60</v>
      </c>
      <c r="G140" s="7" t="str">
        <f aca="false">IF($E140="",VLOOKUP($D140,Категории!$A$5:$C$17,3,FALSE()),"п. 21 — по пом. "&amp;$E140)</f>
        <v>по аналогии с п. 6</v>
      </c>
      <c r="H140" s="5" t="n">
        <f aca="false">MAX($F140+15,65)</f>
        <v>75</v>
      </c>
      <c r="I140" s="7" t="str">
        <f aca="false">IF($F140&lt;=65,"упрощённая оценка (п. 6.11.3)","нужен расчёт (прил. В / ПО изготовителя)")</f>
        <v>упрощённая оценка (п. 6.11.3)</v>
      </c>
      <c r="J140" s="7"/>
      <c r="K140" s="11" t="n">
        <f aca="false">VLOOKUP($D140,Категории!$A$5:$C$17,2,FALSE())</f>
        <v>60</v>
      </c>
    </row>
    <row r="141" customFormat="false" ht="15" hidden="false" customHeight="false" outlineLevel="0" collapsed="false">
      <c r="A141" s="5" t="n">
        <v>2</v>
      </c>
      <c r="B141" s="6" t="s">
        <v>216</v>
      </c>
      <c r="C141" s="7" t="s">
        <v>26</v>
      </c>
      <c r="D141" s="8" t="s">
        <v>27</v>
      </c>
      <c r="E141" s="9"/>
      <c r="F141" s="10" t="n">
        <f aca="false">IF($E141="",$K141,MAX($K141,INDEX($K$6:$K$225,MATCH($E141,$B$6:$B$225,0))))</f>
        <v>60</v>
      </c>
      <c r="G141" s="7" t="str">
        <f aca="false">IF($E141="",VLOOKUP($D141,Категории!$A$5:$C$17,3,FALSE()),"п. 21 — по пом. "&amp;$E141)</f>
        <v>п. 21</v>
      </c>
      <c r="H141" s="5" t="n">
        <f aca="false">MAX($F141+15,65)</f>
        <v>75</v>
      </c>
      <c r="I141" s="7" t="str">
        <f aca="false">IF($F141&lt;=65,"упрощённая оценка (п. 6.11.3)","нужен расчёт (прил. В / ПО изготовителя)")</f>
        <v>упрощённая оценка (п. 6.11.3)</v>
      </c>
      <c r="J141" s="7"/>
      <c r="K141" s="11" t="n">
        <f aca="false">VLOOKUP($D141,Категории!$A$5:$C$17,2,FALSE())</f>
        <v>60</v>
      </c>
    </row>
    <row r="142" customFormat="false" ht="15" hidden="false" customHeight="false" outlineLevel="0" collapsed="false">
      <c r="A142" s="5" t="n">
        <v>2</v>
      </c>
      <c r="B142" s="6" t="s">
        <v>217</v>
      </c>
      <c r="C142" s="7" t="s">
        <v>36</v>
      </c>
      <c r="D142" s="8" t="s">
        <v>37</v>
      </c>
      <c r="E142" s="9"/>
      <c r="F142" s="10" t="n">
        <f aca="false">IF($E142="",$K142,MAX($K142,INDEX($K$6:$K$225,MATCH($E142,$B$6:$B$225,0))))</f>
        <v>60</v>
      </c>
      <c r="G142" s="7" t="str">
        <f aca="false">IF($E142="",VLOOKUP($D142,Категории!$A$5:$C$17,3,FALSE()),"п. 21 — по пом. "&amp;$E142)</f>
        <v>по аналогии с п. 6</v>
      </c>
      <c r="H142" s="5" t="n">
        <f aca="false">MAX($F142+15,65)</f>
        <v>75</v>
      </c>
      <c r="I142" s="7" t="str">
        <f aca="false">IF($F142&lt;=65,"упрощённая оценка (п. 6.11.3)","нужен расчёт (прил. В / ПО изготовителя)")</f>
        <v>упрощённая оценка (п. 6.11.3)</v>
      </c>
      <c r="J142" s="7"/>
      <c r="K142" s="11" t="n">
        <f aca="false">VLOOKUP($D142,Категории!$A$5:$C$17,2,FALSE())</f>
        <v>60</v>
      </c>
    </row>
    <row r="143" customFormat="false" ht="15" hidden="false" customHeight="false" outlineLevel="0" collapsed="false">
      <c r="A143" s="5" t="n">
        <v>2</v>
      </c>
      <c r="B143" s="6" t="s">
        <v>218</v>
      </c>
      <c r="C143" s="7" t="s">
        <v>36</v>
      </c>
      <c r="D143" s="8" t="s">
        <v>37</v>
      </c>
      <c r="E143" s="9"/>
      <c r="F143" s="10" t="n">
        <f aca="false">IF($E143="",$K143,MAX($K143,INDEX($K$6:$K$225,MATCH($E143,$B$6:$B$225,0))))</f>
        <v>60</v>
      </c>
      <c r="G143" s="7" t="str">
        <f aca="false">IF($E143="",VLOOKUP($D143,Категории!$A$5:$C$17,3,FALSE()),"п. 21 — по пом. "&amp;$E143)</f>
        <v>по аналогии с п. 6</v>
      </c>
      <c r="H143" s="5" t="n">
        <f aca="false">MAX($F143+15,65)</f>
        <v>75</v>
      </c>
      <c r="I143" s="7" t="str">
        <f aca="false">IF($F143&lt;=65,"упрощённая оценка (п. 6.11.3)","нужен расчёт (прил. В / ПО изготовителя)")</f>
        <v>упрощённая оценка (п. 6.11.3)</v>
      </c>
      <c r="J143" s="7"/>
      <c r="K143" s="11" t="n">
        <f aca="false">VLOOKUP($D143,Категории!$A$5:$C$17,2,FALSE())</f>
        <v>60</v>
      </c>
    </row>
    <row r="144" customFormat="false" ht="23.85" hidden="false" customHeight="false" outlineLevel="0" collapsed="false">
      <c r="A144" s="5" t="n">
        <v>2</v>
      </c>
      <c r="B144" s="6" t="s">
        <v>219</v>
      </c>
      <c r="C144" s="7" t="s">
        <v>220</v>
      </c>
      <c r="D144" s="8" t="s">
        <v>27</v>
      </c>
      <c r="E144" s="9" t="s">
        <v>207</v>
      </c>
      <c r="F144" s="10" t="n">
        <f aca="false">IF($E144="",$K144,MAX($K144,INDEX($K$6:$K$225,MATCH($E144,$B$6:$B$225,0))))</f>
        <v>70</v>
      </c>
      <c r="G144" s="7" t="str">
        <f aca="false">IF($E144="",VLOOKUP($D144,Категории!$A$5:$C$17,3,FALSE()),"п. 21 — по пом. "&amp;$E144)</f>
        <v>п. 21 — по пом. 129</v>
      </c>
      <c r="H144" s="5" t="n">
        <f aca="false">MAX($F144+15,65)</f>
        <v>85</v>
      </c>
      <c r="I144" s="7" t="str">
        <f aca="false">IF($F144&lt;=65,"упрощённая оценка (п. 6.11.3)","нужен расчёт (прил. В / ПО изготовителя)")</f>
        <v>нужен расчёт (прил. В / ПО изготовителя)</v>
      </c>
      <c r="J144" s="7" t="s">
        <v>221</v>
      </c>
      <c r="K144" s="11" t="n">
        <f aca="false">VLOOKUP($D144,Категории!$A$5:$C$17,2,FALSE())</f>
        <v>60</v>
      </c>
    </row>
    <row r="145" customFormat="false" ht="15" hidden="false" customHeight="false" outlineLevel="0" collapsed="false">
      <c r="A145" s="5" t="n">
        <v>3</v>
      </c>
      <c r="B145" s="6" t="s">
        <v>222</v>
      </c>
      <c r="C145" s="7" t="s">
        <v>142</v>
      </c>
      <c r="D145" s="8" t="s">
        <v>48</v>
      </c>
      <c r="E145" s="9"/>
      <c r="F145" s="10" t="n">
        <f aca="false">IF($E145="",$K145,MAX($K145,INDEX($K$6:$K$225,MATCH($E145,$B$6:$B$225,0))))</f>
        <v>60</v>
      </c>
      <c r="G145" s="7" t="str">
        <f aca="false">IF($E145="",VLOOKUP($D145,Категории!$A$5:$C$17,3,FALSE()),"п. 21 — по пом. "&amp;$E145)</f>
        <v>п. 6</v>
      </c>
      <c r="H145" s="5" t="n">
        <f aca="false">MAX($F145+15,65)</f>
        <v>75</v>
      </c>
      <c r="I145" s="7" t="str">
        <f aca="false">IF($F145&lt;=65,"упрощённая оценка (п. 6.11.3)","нужен расчёт (прил. В / ПО изготовителя)")</f>
        <v>упрощённая оценка (п. 6.11.3)</v>
      </c>
      <c r="J145" s="7"/>
      <c r="K145" s="11" t="n">
        <f aca="false">VLOOKUP($D145,Категории!$A$5:$C$17,2,FALSE())</f>
        <v>60</v>
      </c>
    </row>
    <row r="146" customFormat="false" ht="15" hidden="false" customHeight="false" outlineLevel="0" collapsed="false">
      <c r="A146" s="5" t="n">
        <v>3</v>
      </c>
      <c r="B146" s="6" t="s">
        <v>223</v>
      </c>
      <c r="C146" s="7" t="s">
        <v>51</v>
      </c>
      <c r="D146" s="8" t="s">
        <v>48</v>
      </c>
      <c r="E146" s="9"/>
      <c r="F146" s="10" t="n">
        <f aca="false">IF($E146="",$K146,MAX($K146,INDEX($K$6:$K$225,MATCH($E146,$B$6:$B$225,0))))</f>
        <v>60</v>
      </c>
      <c r="G146" s="7" t="str">
        <f aca="false">IF($E146="",VLOOKUP($D146,Категории!$A$5:$C$17,3,FALSE()),"п. 21 — по пом. "&amp;$E146)</f>
        <v>п. 6</v>
      </c>
      <c r="H146" s="5" t="n">
        <f aca="false">MAX($F146+15,65)</f>
        <v>75</v>
      </c>
      <c r="I146" s="7" t="str">
        <f aca="false">IF($F146&lt;=65,"упрощённая оценка (п. 6.11.3)","нужен расчёт (прил. В / ПО изготовителя)")</f>
        <v>упрощённая оценка (п. 6.11.3)</v>
      </c>
      <c r="J146" s="7"/>
      <c r="K146" s="11" t="n">
        <f aca="false">VLOOKUP($D146,Категории!$A$5:$C$17,2,FALSE())</f>
        <v>60</v>
      </c>
    </row>
    <row r="147" customFormat="false" ht="15" hidden="false" customHeight="false" outlineLevel="0" collapsed="false">
      <c r="A147" s="5" t="n">
        <v>3</v>
      </c>
      <c r="B147" s="6" t="s">
        <v>224</v>
      </c>
      <c r="C147" s="7" t="s">
        <v>142</v>
      </c>
      <c r="D147" s="8" t="s">
        <v>48</v>
      </c>
      <c r="E147" s="9"/>
      <c r="F147" s="10" t="n">
        <f aca="false">IF($E147="",$K147,MAX($K147,INDEX($K$6:$K$225,MATCH($E147,$B$6:$B$225,0))))</f>
        <v>60</v>
      </c>
      <c r="G147" s="7" t="str">
        <f aca="false">IF($E147="",VLOOKUP($D147,Категории!$A$5:$C$17,3,FALSE()),"п. 21 — по пом. "&amp;$E147)</f>
        <v>п. 6</v>
      </c>
      <c r="H147" s="5" t="n">
        <f aca="false">MAX($F147+15,65)</f>
        <v>75</v>
      </c>
      <c r="I147" s="7" t="str">
        <f aca="false">IF($F147&lt;=65,"упрощённая оценка (п. 6.11.3)","нужен расчёт (прил. В / ПО изготовителя)")</f>
        <v>упрощённая оценка (п. 6.11.3)</v>
      </c>
      <c r="J147" s="7"/>
      <c r="K147" s="11" t="n">
        <f aca="false">VLOOKUP($D147,Категории!$A$5:$C$17,2,FALSE())</f>
        <v>60</v>
      </c>
    </row>
    <row r="148" customFormat="false" ht="15" hidden="false" customHeight="false" outlineLevel="0" collapsed="false">
      <c r="A148" s="5" t="n">
        <v>3</v>
      </c>
      <c r="B148" s="6" t="s">
        <v>225</v>
      </c>
      <c r="C148" s="7" t="s">
        <v>51</v>
      </c>
      <c r="D148" s="8" t="s">
        <v>48</v>
      </c>
      <c r="E148" s="9"/>
      <c r="F148" s="10" t="n">
        <f aca="false">IF($E148="",$K148,MAX($K148,INDEX($K$6:$K$225,MATCH($E148,$B$6:$B$225,0))))</f>
        <v>60</v>
      </c>
      <c r="G148" s="7" t="str">
        <f aca="false">IF($E148="",VLOOKUP($D148,Категории!$A$5:$C$17,3,FALSE()),"п. 21 — по пом. "&amp;$E148)</f>
        <v>п. 6</v>
      </c>
      <c r="H148" s="5" t="n">
        <f aca="false">MAX($F148+15,65)</f>
        <v>75</v>
      </c>
      <c r="I148" s="7" t="str">
        <f aca="false">IF($F148&lt;=65,"упрощённая оценка (п. 6.11.3)","нужен расчёт (прил. В / ПО изготовителя)")</f>
        <v>упрощённая оценка (п. 6.11.3)</v>
      </c>
      <c r="J148" s="7"/>
      <c r="K148" s="11" t="n">
        <f aca="false">VLOOKUP($D148,Категории!$A$5:$C$17,2,FALSE())</f>
        <v>60</v>
      </c>
    </row>
    <row r="149" customFormat="false" ht="15" hidden="false" customHeight="false" outlineLevel="0" collapsed="false">
      <c r="A149" s="5" t="n">
        <v>3</v>
      </c>
      <c r="B149" s="6" t="s">
        <v>226</v>
      </c>
      <c r="C149" s="7" t="s">
        <v>34</v>
      </c>
      <c r="D149" s="8" t="s">
        <v>27</v>
      </c>
      <c r="E149" s="9"/>
      <c r="F149" s="10" t="n">
        <f aca="false">IF($E149="",$K149,MAX($K149,INDEX($K$6:$K$225,MATCH($E149,$B$6:$B$225,0))))</f>
        <v>60</v>
      </c>
      <c r="G149" s="7" t="str">
        <f aca="false">IF($E149="",VLOOKUP($D149,Категории!$A$5:$C$17,3,FALSE()),"п. 21 — по пом. "&amp;$E149)</f>
        <v>п. 21</v>
      </c>
      <c r="H149" s="5" t="n">
        <f aca="false">MAX($F149+15,65)</f>
        <v>75</v>
      </c>
      <c r="I149" s="7" t="str">
        <f aca="false">IF($F149&lt;=65,"упрощённая оценка (п. 6.11.3)","нужен расчёт (прил. В / ПО изготовителя)")</f>
        <v>упрощённая оценка (п. 6.11.3)</v>
      </c>
      <c r="J149" s="7"/>
      <c r="K149" s="11" t="n">
        <f aca="false">VLOOKUP($D149,Категории!$A$5:$C$17,2,FALSE())</f>
        <v>60</v>
      </c>
    </row>
    <row r="150" customFormat="false" ht="15" hidden="false" customHeight="false" outlineLevel="0" collapsed="false">
      <c r="A150" s="5" t="n">
        <v>3</v>
      </c>
      <c r="B150" s="6" t="s">
        <v>227</v>
      </c>
      <c r="C150" s="7" t="s">
        <v>51</v>
      </c>
      <c r="D150" s="8" t="s">
        <v>48</v>
      </c>
      <c r="E150" s="9"/>
      <c r="F150" s="10" t="n">
        <f aca="false">IF($E150="",$K150,MAX($K150,INDEX($K$6:$K$225,MATCH($E150,$B$6:$B$225,0))))</f>
        <v>60</v>
      </c>
      <c r="G150" s="7" t="str">
        <f aca="false">IF($E150="",VLOOKUP($D150,Категории!$A$5:$C$17,3,FALSE()),"п. 21 — по пом. "&amp;$E150)</f>
        <v>п. 6</v>
      </c>
      <c r="H150" s="5" t="n">
        <f aca="false">MAX($F150+15,65)</f>
        <v>75</v>
      </c>
      <c r="I150" s="7" t="str">
        <f aca="false">IF($F150&lt;=65,"упрощённая оценка (п. 6.11.3)","нужен расчёт (прил. В / ПО изготовителя)")</f>
        <v>упрощённая оценка (п. 6.11.3)</v>
      </c>
      <c r="J150" s="7"/>
      <c r="K150" s="11" t="n">
        <f aca="false">VLOOKUP($D150,Категории!$A$5:$C$17,2,FALSE())</f>
        <v>60</v>
      </c>
    </row>
    <row r="151" customFormat="false" ht="15" hidden="false" customHeight="false" outlineLevel="0" collapsed="false">
      <c r="A151" s="5" t="n">
        <v>3</v>
      </c>
      <c r="B151" s="6" t="s">
        <v>228</v>
      </c>
      <c r="C151" s="7" t="s">
        <v>142</v>
      </c>
      <c r="D151" s="8" t="s">
        <v>48</v>
      </c>
      <c r="E151" s="9"/>
      <c r="F151" s="10" t="n">
        <f aca="false">IF($E151="",$K151,MAX($K151,INDEX($K$6:$K$225,MATCH($E151,$B$6:$B$225,0))))</f>
        <v>60</v>
      </c>
      <c r="G151" s="7" t="str">
        <f aca="false">IF($E151="",VLOOKUP($D151,Категории!$A$5:$C$17,3,FALSE()),"п. 21 — по пом. "&amp;$E151)</f>
        <v>п. 6</v>
      </c>
      <c r="H151" s="5" t="n">
        <f aca="false">MAX($F151+15,65)</f>
        <v>75</v>
      </c>
      <c r="I151" s="7" t="str">
        <f aca="false">IF($F151&lt;=65,"упрощённая оценка (п. 6.11.3)","нужен расчёт (прил. В / ПО изготовителя)")</f>
        <v>упрощённая оценка (п. 6.11.3)</v>
      </c>
      <c r="J151" s="7"/>
      <c r="K151" s="11" t="n">
        <f aca="false">VLOOKUP($D151,Категории!$A$5:$C$17,2,FALSE())</f>
        <v>60</v>
      </c>
    </row>
    <row r="152" customFormat="false" ht="15" hidden="false" customHeight="false" outlineLevel="0" collapsed="false">
      <c r="A152" s="5" t="n">
        <v>3</v>
      </c>
      <c r="B152" s="6" t="s">
        <v>229</v>
      </c>
      <c r="C152" s="7" t="s">
        <v>26</v>
      </c>
      <c r="D152" s="8" t="s">
        <v>27</v>
      </c>
      <c r="E152" s="9"/>
      <c r="F152" s="10" t="n">
        <f aca="false">IF($E152="",$K152,MAX($K152,INDEX($K$6:$K$225,MATCH($E152,$B$6:$B$225,0))))</f>
        <v>60</v>
      </c>
      <c r="G152" s="7" t="str">
        <f aca="false">IF($E152="",VLOOKUP($D152,Категории!$A$5:$C$17,3,FALSE()),"п. 21 — по пом. "&amp;$E152)</f>
        <v>п. 21</v>
      </c>
      <c r="H152" s="5" t="n">
        <f aca="false">MAX($F152+15,65)</f>
        <v>75</v>
      </c>
      <c r="I152" s="7" t="str">
        <f aca="false">IF($F152&lt;=65,"упрощённая оценка (п. 6.11.3)","нужен расчёт (прил. В / ПО изготовителя)")</f>
        <v>упрощённая оценка (п. 6.11.3)</v>
      </c>
      <c r="J152" s="7"/>
      <c r="K152" s="11" t="n">
        <f aca="false">VLOOKUP($D152,Категории!$A$5:$C$17,2,FALSE())</f>
        <v>60</v>
      </c>
    </row>
    <row r="153" customFormat="false" ht="15" hidden="false" customHeight="false" outlineLevel="0" collapsed="false">
      <c r="A153" s="5" t="n">
        <v>3</v>
      </c>
      <c r="B153" s="6" t="s">
        <v>230</v>
      </c>
      <c r="C153" s="7" t="s">
        <v>34</v>
      </c>
      <c r="D153" s="8" t="s">
        <v>27</v>
      </c>
      <c r="E153" s="9"/>
      <c r="F153" s="10" t="n">
        <f aca="false">IF($E153="",$K153,MAX($K153,INDEX($K$6:$K$225,MATCH($E153,$B$6:$B$225,0))))</f>
        <v>60</v>
      </c>
      <c r="G153" s="7" t="str">
        <f aca="false">IF($E153="",VLOOKUP($D153,Категории!$A$5:$C$17,3,FALSE()),"п. 21 — по пом. "&amp;$E153)</f>
        <v>п. 21</v>
      </c>
      <c r="H153" s="5" t="n">
        <f aca="false">MAX($F153+15,65)</f>
        <v>75</v>
      </c>
      <c r="I153" s="7" t="str">
        <f aca="false">IF($F153&lt;=65,"упрощённая оценка (п. 6.11.3)","нужен расчёт (прил. В / ПО изготовителя)")</f>
        <v>упрощённая оценка (п. 6.11.3)</v>
      </c>
      <c r="J153" s="7"/>
      <c r="K153" s="11" t="n">
        <f aca="false">VLOOKUP($D153,Категории!$A$5:$C$17,2,FALSE())</f>
        <v>60</v>
      </c>
    </row>
    <row r="154" customFormat="false" ht="15" hidden="false" customHeight="false" outlineLevel="0" collapsed="false">
      <c r="A154" s="5" t="n">
        <v>3</v>
      </c>
      <c r="B154" s="6" t="s">
        <v>231</v>
      </c>
      <c r="C154" s="7" t="s">
        <v>51</v>
      </c>
      <c r="D154" s="8" t="s">
        <v>48</v>
      </c>
      <c r="E154" s="9"/>
      <c r="F154" s="10" t="n">
        <f aca="false">IF($E154="",$K154,MAX($K154,INDEX($K$6:$K$225,MATCH($E154,$B$6:$B$225,0))))</f>
        <v>60</v>
      </c>
      <c r="G154" s="7" t="str">
        <f aca="false">IF($E154="",VLOOKUP($D154,Категории!$A$5:$C$17,3,FALSE()),"п. 21 — по пом. "&amp;$E154)</f>
        <v>п. 6</v>
      </c>
      <c r="H154" s="5" t="n">
        <f aca="false">MAX($F154+15,65)</f>
        <v>75</v>
      </c>
      <c r="I154" s="7" t="str">
        <f aca="false">IF($F154&lt;=65,"упрощённая оценка (п. 6.11.3)","нужен расчёт (прил. В / ПО изготовителя)")</f>
        <v>упрощённая оценка (п. 6.11.3)</v>
      </c>
      <c r="J154" s="7"/>
      <c r="K154" s="11" t="n">
        <f aca="false">VLOOKUP($D154,Категории!$A$5:$C$17,2,FALSE())</f>
        <v>60</v>
      </c>
    </row>
    <row r="155" customFormat="false" ht="15" hidden="false" customHeight="false" outlineLevel="0" collapsed="false">
      <c r="A155" s="5" t="n">
        <v>3</v>
      </c>
      <c r="B155" s="6" t="s">
        <v>232</v>
      </c>
      <c r="C155" s="7" t="s">
        <v>142</v>
      </c>
      <c r="D155" s="8" t="s">
        <v>48</v>
      </c>
      <c r="E155" s="9"/>
      <c r="F155" s="10" t="n">
        <f aca="false">IF($E155="",$K155,MAX($K155,INDEX($K$6:$K$225,MATCH($E155,$B$6:$B$225,0))))</f>
        <v>60</v>
      </c>
      <c r="G155" s="7" t="str">
        <f aca="false">IF($E155="",VLOOKUP($D155,Категории!$A$5:$C$17,3,FALSE()),"п. 21 — по пом. "&amp;$E155)</f>
        <v>п. 6</v>
      </c>
      <c r="H155" s="5" t="n">
        <f aca="false">MAX($F155+15,65)</f>
        <v>75</v>
      </c>
      <c r="I155" s="7" t="str">
        <f aca="false">IF($F155&lt;=65,"упрощённая оценка (п. 6.11.3)","нужен расчёт (прил. В / ПО изготовителя)")</f>
        <v>упрощённая оценка (п. 6.11.3)</v>
      </c>
      <c r="J155" s="7"/>
      <c r="K155" s="11" t="n">
        <f aca="false">VLOOKUP($D155,Категории!$A$5:$C$17,2,FALSE())</f>
        <v>60</v>
      </c>
    </row>
    <row r="156" customFormat="false" ht="15" hidden="false" customHeight="false" outlineLevel="0" collapsed="false">
      <c r="A156" s="5" t="n">
        <v>3</v>
      </c>
      <c r="B156" s="6" t="s">
        <v>233</v>
      </c>
      <c r="C156" s="7" t="s">
        <v>26</v>
      </c>
      <c r="D156" s="8" t="s">
        <v>27</v>
      </c>
      <c r="E156" s="9"/>
      <c r="F156" s="10" t="n">
        <f aca="false">IF($E156="",$K156,MAX($K156,INDEX($K$6:$K$225,MATCH($E156,$B$6:$B$225,0))))</f>
        <v>60</v>
      </c>
      <c r="G156" s="7" t="str">
        <f aca="false">IF($E156="",VLOOKUP($D156,Категории!$A$5:$C$17,3,FALSE()),"п. 21 — по пом. "&amp;$E156)</f>
        <v>п. 21</v>
      </c>
      <c r="H156" s="5" t="n">
        <f aca="false">MAX($F156+15,65)</f>
        <v>75</v>
      </c>
      <c r="I156" s="7" t="str">
        <f aca="false">IF($F156&lt;=65,"упрощённая оценка (п. 6.11.3)","нужен расчёт (прил. В / ПО изготовителя)")</f>
        <v>упрощённая оценка (п. 6.11.3)</v>
      </c>
      <c r="J156" s="7"/>
      <c r="K156" s="11" t="n">
        <f aca="false">VLOOKUP($D156,Категории!$A$5:$C$17,2,FALSE())</f>
        <v>60</v>
      </c>
    </row>
    <row r="157" customFormat="false" ht="15" hidden="false" customHeight="false" outlineLevel="0" collapsed="false">
      <c r="A157" s="5" t="n">
        <v>3</v>
      </c>
      <c r="B157" s="6" t="s">
        <v>234</v>
      </c>
      <c r="C157" s="7" t="s">
        <v>98</v>
      </c>
      <c r="D157" s="8" t="s">
        <v>99</v>
      </c>
      <c r="E157" s="9"/>
      <c r="F157" s="10" t="n">
        <f aca="false">IF($E157="",$K157,MAX($K157,INDEX($K$6:$K$225,MATCH($E157,$B$6:$B$225,0))))</f>
        <v>55</v>
      </c>
      <c r="G157" s="7" t="str">
        <f aca="false">IF($E157="",VLOOKUP($D157,Категории!$A$5:$C$17,3,FALSE()),"п. 21 — по пом. "&amp;$E157)</f>
        <v>п. 28</v>
      </c>
      <c r="H157" s="5" t="n">
        <f aca="false">MAX($F157+15,65)</f>
        <v>70</v>
      </c>
      <c r="I157" s="7" t="str">
        <f aca="false">IF($F157&lt;=65,"упрощённая оценка (п. 6.11.3)","нужен расчёт (прил. В / ПО изготовителя)")</f>
        <v>упрощённая оценка (п. 6.11.3)</v>
      </c>
      <c r="J157" s="7"/>
      <c r="K157" s="11" t="n">
        <f aca="false">VLOOKUP($D157,Категории!$A$5:$C$17,2,FALSE())</f>
        <v>55</v>
      </c>
    </row>
    <row r="158" customFormat="false" ht="15" hidden="false" customHeight="false" outlineLevel="0" collapsed="false">
      <c r="A158" s="5" t="n">
        <v>3</v>
      </c>
      <c r="B158" s="6" t="s">
        <v>235</v>
      </c>
      <c r="C158" s="7" t="s">
        <v>98</v>
      </c>
      <c r="D158" s="8" t="s">
        <v>99</v>
      </c>
      <c r="E158" s="9"/>
      <c r="F158" s="10" t="n">
        <f aca="false">IF($E158="",$K158,MAX($K158,INDEX($K$6:$K$225,MATCH($E158,$B$6:$B$225,0))))</f>
        <v>55</v>
      </c>
      <c r="G158" s="7" t="str">
        <f aca="false">IF($E158="",VLOOKUP($D158,Категории!$A$5:$C$17,3,FALSE()),"п. 21 — по пом. "&amp;$E158)</f>
        <v>п. 28</v>
      </c>
      <c r="H158" s="5" t="n">
        <f aca="false">MAX($F158+15,65)</f>
        <v>70</v>
      </c>
      <c r="I158" s="7" t="str">
        <f aca="false">IF($F158&lt;=65,"упрощённая оценка (п. 6.11.3)","нужен расчёт (прил. В / ПО изготовителя)")</f>
        <v>упрощённая оценка (п. 6.11.3)</v>
      </c>
      <c r="J158" s="7"/>
      <c r="K158" s="11" t="n">
        <f aca="false">VLOOKUP($D158,Категории!$A$5:$C$17,2,FALSE())</f>
        <v>55</v>
      </c>
    </row>
    <row r="159" customFormat="false" ht="15" hidden="false" customHeight="false" outlineLevel="0" collapsed="false">
      <c r="A159" s="5" t="n">
        <v>3</v>
      </c>
      <c r="B159" s="6" t="s">
        <v>236</v>
      </c>
      <c r="C159" s="7" t="s">
        <v>90</v>
      </c>
      <c r="D159" s="8" t="s">
        <v>37</v>
      </c>
      <c r="E159" s="9"/>
      <c r="F159" s="10" t="n">
        <f aca="false">IF($E159="",$K159,MAX($K159,INDEX($K$6:$K$225,MATCH($E159,$B$6:$B$225,0))))</f>
        <v>60</v>
      </c>
      <c r="G159" s="7" t="str">
        <f aca="false">IF($E159="",VLOOKUP($D159,Категории!$A$5:$C$17,3,FALSE()),"п. 21 — по пом. "&amp;$E159)</f>
        <v>по аналогии с п. 6</v>
      </c>
      <c r="H159" s="5" t="n">
        <f aca="false">MAX($F159+15,65)</f>
        <v>75</v>
      </c>
      <c r="I159" s="7" t="str">
        <f aca="false">IF($F159&lt;=65,"упрощённая оценка (п. 6.11.3)","нужен расчёт (прил. В / ПО изготовителя)")</f>
        <v>упрощённая оценка (п. 6.11.3)</v>
      </c>
      <c r="J159" s="7"/>
      <c r="K159" s="11" t="n">
        <f aca="false">VLOOKUP($D159,Категории!$A$5:$C$17,2,FALSE())</f>
        <v>60</v>
      </c>
    </row>
    <row r="160" customFormat="false" ht="15" hidden="false" customHeight="false" outlineLevel="0" collapsed="false">
      <c r="A160" s="5" t="n">
        <v>3</v>
      </c>
      <c r="B160" s="6" t="s">
        <v>237</v>
      </c>
      <c r="C160" s="7" t="s">
        <v>98</v>
      </c>
      <c r="D160" s="8" t="s">
        <v>99</v>
      </c>
      <c r="E160" s="9"/>
      <c r="F160" s="10" t="n">
        <f aca="false">IF($E160="",$K160,MAX($K160,INDEX($K$6:$K$225,MATCH($E160,$B$6:$B$225,0))))</f>
        <v>55</v>
      </c>
      <c r="G160" s="7" t="str">
        <f aca="false">IF($E160="",VLOOKUP($D160,Категории!$A$5:$C$17,3,FALSE()),"п. 21 — по пом. "&amp;$E160)</f>
        <v>п. 28</v>
      </c>
      <c r="H160" s="5" t="n">
        <f aca="false">MAX($F160+15,65)</f>
        <v>70</v>
      </c>
      <c r="I160" s="7" t="str">
        <f aca="false">IF($F160&lt;=65,"упрощённая оценка (п. 6.11.3)","нужен расчёт (прил. В / ПО изготовителя)")</f>
        <v>упрощённая оценка (п. 6.11.3)</v>
      </c>
      <c r="J160" s="7"/>
      <c r="K160" s="11" t="n">
        <f aca="false">VLOOKUP($D160,Категории!$A$5:$C$17,2,FALSE())</f>
        <v>55</v>
      </c>
    </row>
    <row r="161" customFormat="false" ht="15" hidden="false" customHeight="false" outlineLevel="0" collapsed="false">
      <c r="A161" s="5" t="n">
        <v>3</v>
      </c>
      <c r="B161" s="6" t="s">
        <v>238</v>
      </c>
      <c r="C161" s="7" t="s">
        <v>26</v>
      </c>
      <c r="D161" s="8" t="s">
        <v>27</v>
      </c>
      <c r="E161" s="9"/>
      <c r="F161" s="10" t="n">
        <f aca="false">IF($E161="",$K161,MAX($K161,INDEX($K$6:$K$225,MATCH($E161,$B$6:$B$225,0))))</f>
        <v>60</v>
      </c>
      <c r="G161" s="7" t="str">
        <f aca="false">IF($E161="",VLOOKUP($D161,Категории!$A$5:$C$17,3,FALSE()),"п. 21 — по пом. "&amp;$E161)</f>
        <v>п. 21</v>
      </c>
      <c r="H161" s="5" t="n">
        <f aca="false">MAX($F161+15,65)</f>
        <v>75</v>
      </c>
      <c r="I161" s="7" t="str">
        <f aca="false">IF($F161&lt;=65,"упрощённая оценка (п. 6.11.3)","нужен расчёт (прил. В / ПО изготовителя)")</f>
        <v>упрощённая оценка (п. 6.11.3)</v>
      </c>
      <c r="J161" s="7"/>
      <c r="K161" s="11" t="n">
        <f aca="false">VLOOKUP($D161,Категории!$A$5:$C$17,2,FALSE())</f>
        <v>60</v>
      </c>
    </row>
    <row r="162" customFormat="false" ht="15" hidden="false" customHeight="false" outlineLevel="0" collapsed="false">
      <c r="A162" s="5" t="n">
        <v>3</v>
      </c>
      <c r="B162" s="6" t="s">
        <v>239</v>
      </c>
      <c r="C162" s="7" t="s">
        <v>51</v>
      </c>
      <c r="D162" s="8" t="s">
        <v>48</v>
      </c>
      <c r="E162" s="9"/>
      <c r="F162" s="10" t="n">
        <f aca="false">IF($E162="",$K162,MAX($K162,INDEX($K$6:$K$225,MATCH($E162,$B$6:$B$225,0))))</f>
        <v>60</v>
      </c>
      <c r="G162" s="7" t="str">
        <f aca="false">IF($E162="",VLOOKUP($D162,Категории!$A$5:$C$17,3,FALSE()),"п. 21 — по пом. "&amp;$E162)</f>
        <v>п. 6</v>
      </c>
      <c r="H162" s="5" t="n">
        <f aca="false">MAX($F162+15,65)</f>
        <v>75</v>
      </c>
      <c r="I162" s="7" t="str">
        <f aca="false">IF($F162&lt;=65,"упрощённая оценка (п. 6.11.3)","нужен расчёт (прил. В / ПО изготовителя)")</f>
        <v>упрощённая оценка (п. 6.11.3)</v>
      </c>
      <c r="J162" s="7"/>
      <c r="K162" s="11" t="n">
        <f aca="false">VLOOKUP($D162,Категории!$A$5:$C$17,2,FALSE())</f>
        <v>60</v>
      </c>
    </row>
    <row r="163" customFormat="false" ht="15" hidden="false" customHeight="false" outlineLevel="0" collapsed="false">
      <c r="A163" s="5" t="n">
        <v>3</v>
      </c>
      <c r="B163" s="6" t="s">
        <v>240</v>
      </c>
      <c r="C163" s="7" t="s">
        <v>157</v>
      </c>
      <c r="D163" s="8" t="s">
        <v>48</v>
      </c>
      <c r="E163" s="9"/>
      <c r="F163" s="10" t="n">
        <f aca="false">IF($E163="",$K163,MAX($K163,INDEX($K$6:$K$225,MATCH($E163,$B$6:$B$225,0))))</f>
        <v>60</v>
      </c>
      <c r="G163" s="7" t="str">
        <f aca="false">IF($E163="",VLOOKUP($D163,Категории!$A$5:$C$17,3,FALSE()),"п. 21 — по пом. "&amp;$E163)</f>
        <v>п. 6</v>
      </c>
      <c r="H163" s="5" t="n">
        <f aca="false">MAX($F163+15,65)</f>
        <v>75</v>
      </c>
      <c r="I163" s="7" t="str">
        <f aca="false">IF($F163&lt;=65,"упрощённая оценка (п. 6.11.3)","нужен расчёт (прил. В / ПО изготовителя)")</f>
        <v>упрощённая оценка (п. 6.11.3)</v>
      </c>
      <c r="J163" s="7" t="s">
        <v>158</v>
      </c>
      <c r="K163" s="11" t="n">
        <f aca="false">VLOOKUP($D163,Категории!$A$5:$C$17,2,FALSE())</f>
        <v>60</v>
      </c>
    </row>
    <row r="164" customFormat="false" ht="15" hidden="false" customHeight="false" outlineLevel="0" collapsed="false">
      <c r="A164" s="5" t="n">
        <v>3</v>
      </c>
      <c r="B164" s="6" t="s">
        <v>241</v>
      </c>
      <c r="C164" s="7" t="s">
        <v>51</v>
      </c>
      <c r="D164" s="8" t="s">
        <v>48</v>
      </c>
      <c r="E164" s="9"/>
      <c r="F164" s="10" t="n">
        <f aca="false">IF($E164="",$K164,MAX($K164,INDEX($K$6:$K$225,MATCH($E164,$B$6:$B$225,0))))</f>
        <v>60</v>
      </c>
      <c r="G164" s="7" t="str">
        <f aca="false">IF($E164="",VLOOKUP($D164,Категории!$A$5:$C$17,3,FALSE()),"п. 21 — по пом. "&amp;$E164)</f>
        <v>п. 6</v>
      </c>
      <c r="H164" s="5" t="n">
        <f aca="false">MAX($F164+15,65)</f>
        <v>75</v>
      </c>
      <c r="I164" s="7" t="str">
        <f aca="false">IF($F164&lt;=65,"упрощённая оценка (п. 6.11.3)","нужен расчёт (прил. В / ПО изготовителя)")</f>
        <v>упрощённая оценка (п. 6.11.3)</v>
      </c>
      <c r="J164" s="7"/>
      <c r="K164" s="11" t="n">
        <f aca="false">VLOOKUP($D164,Категории!$A$5:$C$17,2,FALSE())</f>
        <v>60</v>
      </c>
    </row>
    <row r="165" customFormat="false" ht="15" hidden="false" customHeight="false" outlineLevel="0" collapsed="false">
      <c r="A165" s="5" t="n">
        <v>3</v>
      </c>
      <c r="B165" s="6" t="s">
        <v>242</v>
      </c>
      <c r="C165" s="7" t="s">
        <v>51</v>
      </c>
      <c r="D165" s="8" t="s">
        <v>48</v>
      </c>
      <c r="E165" s="9"/>
      <c r="F165" s="10" t="n">
        <f aca="false">IF($E165="",$K165,MAX($K165,INDEX($K$6:$K$225,MATCH($E165,$B$6:$B$225,0))))</f>
        <v>60</v>
      </c>
      <c r="G165" s="7" t="str">
        <f aca="false">IF($E165="",VLOOKUP($D165,Категории!$A$5:$C$17,3,FALSE()),"п. 21 — по пом. "&amp;$E165)</f>
        <v>п. 6</v>
      </c>
      <c r="H165" s="5" t="n">
        <f aca="false">MAX($F165+15,65)</f>
        <v>75</v>
      </c>
      <c r="I165" s="7" t="str">
        <f aca="false">IF($F165&lt;=65,"упрощённая оценка (п. 6.11.3)","нужен расчёт (прил. В / ПО изготовителя)")</f>
        <v>упрощённая оценка (п. 6.11.3)</v>
      </c>
      <c r="J165" s="7"/>
      <c r="K165" s="11" t="n">
        <f aca="false">VLOOKUP($D165,Категории!$A$5:$C$17,2,FALSE())</f>
        <v>60</v>
      </c>
    </row>
    <row r="166" customFormat="false" ht="15" hidden="false" customHeight="false" outlineLevel="0" collapsed="false">
      <c r="A166" s="5" t="n">
        <v>3</v>
      </c>
      <c r="B166" s="6" t="s">
        <v>243</v>
      </c>
      <c r="C166" s="7" t="s">
        <v>51</v>
      </c>
      <c r="D166" s="8" t="s">
        <v>48</v>
      </c>
      <c r="E166" s="9"/>
      <c r="F166" s="10" t="n">
        <f aca="false">IF($E166="",$K166,MAX($K166,INDEX($K$6:$K$225,MATCH($E166,$B$6:$B$225,0))))</f>
        <v>60</v>
      </c>
      <c r="G166" s="7" t="str">
        <f aca="false">IF($E166="",VLOOKUP($D166,Категории!$A$5:$C$17,3,FALSE()),"п. 21 — по пом. "&amp;$E166)</f>
        <v>п. 6</v>
      </c>
      <c r="H166" s="5" t="n">
        <f aca="false">MAX($F166+15,65)</f>
        <v>75</v>
      </c>
      <c r="I166" s="7" t="str">
        <f aca="false">IF($F166&lt;=65,"упрощённая оценка (п. 6.11.3)","нужен расчёт (прил. В / ПО изготовителя)")</f>
        <v>упрощённая оценка (п. 6.11.3)</v>
      </c>
      <c r="J166" s="7"/>
      <c r="K166" s="11" t="n">
        <f aca="false">VLOOKUP($D166,Категории!$A$5:$C$17,2,FALSE())</f>
        <v>60</v>
      </c>
    </row>
    <row r="167" customFormat="false" ht="15" hidden="false" customHeight="false" outlineLevel="0" collapsed="false">
      <c r="A167" s="5" t="n">
        <v>3</v>
      </c>
      <c r="B167" s="6" t="s">
        <v>244</v>
      </c>
      <c r="C167" s="7" t="s">
        <v>142</v>
      </c>
      <c r="D167" s="8" t="s">
        <v>48</v>
      </c>
      <c r="E167" s="9"/>
      <c r="F167" s="10" t="n">
        <f aca="false">IF($E167="",$K167,MAX($K167,INDEX($K$6:$K$225,MATCH($E167,$B$6:$B$225,0))))</f>
        <v>60</v>
      </c>
      <c r="G167" s="7" t="str">
        <f aca="false">IF($E167="",VLOOKUP($D167,Категории!$A$5:$C$17,3,FALSE()),"п. 21 — по пом. "&amp;$E167)</f>
        <v>п. 6</v>
      </c>
      <c r="H167" s="5" t="n">
        <f aca="false">MAX($F167+15,65)</f>
        <v>75</v>
      </c>
      <c r="I167" s="7" t="str">
        <f aca="false">IF($F167&lt;=65,"упрощённая оценка (п. 6.11.3)","нужен расчёт (прил. В / ПО изготовителя)")</f>
        <v>упрощённая оценка (п. 6.11.3)</v>
      </c>
      <c r="J167" s="7"/>
      <c r="K167" s="11" t="n">
        <f aca="false">VLOOKUP($D167,Категории!$A$5:$C$17,2,FALSE())</f>
        <v>60</v>
      </c>
    </row>
    <row r="168" customFormat="false" ht="15" hidden="false" customHeight="false" outlineLevel="0" collapsed="false">
      <c r="A168" s="5" t="n">
        <v>3</v>
      </c>
      <c r="B168" s="6" t="s">
        <v>245</v>
      </c>
      <c r="C168" s="7" t="s">
        <v>51</v>
      </c>
      <c r="D168" s="8" t="s">
        <v>48</v>
      </c>
      <c r="E168" s="9"/>
      <c r="F168" s="10" t="n">
        <f aca="false">IF($E168="",$K168,MAX($K168,INDEX($K$6:$K$225,MATCH($E168,$B$6:$B$225,0))))</f>
        <v>60</v>
      </c>
      <c r="G168" s="7" t="str">
        <f aca="false">IF($E168="",VLOOKUP($D168,Категории!$A$5:$C$17,3,FALSE()),"п. 21 — по пом. "&amp;$E168)</f>
        <v>п. 6</v>
      </c>
      <c r="H168" s="5" t="n">
        <f aca="false">MAX($F168+15,65)</f>
        <v>75</v>
      </c>
      <c r="I168" s="7" t="str">
        <f aca="false">IF($F168&lt;=65,"упрощённая оценка (п. 6.11.3)","нужен расчёт (прил. В / ПО изготовителя)")</f>
        <v>упрощённая оценка (п. 6.11.3)</v>
      </c>
      <c r="J168" s="7"/>
      <c r="K168" s="11" t="n">
        <f aca="false">VLOOKUP($D168,Категории!$A$5:$C$17,2,FALSE())</f>
        <v>60</v>
      </c>
    </row>
    <row r="169" customFormat="false" ht="15" hidden="false" customHeight="false" outlineLevel="0" collapsed="false">
      <c r="A169" s="5" t="n">
        <v>3</v>
      </c>
      <c r="B169" s="6" t="s">
        <v>246</v>
      </c>
      <c r="C169" s="7" t="s">
        <v>47</v>
      </c>
      <c r="D169" s="8" t="s">
        <v>48</v>
      </c>
      <c r="E169" s="9"/>
      <c r="F169" s="10" t="n">
        <f aca="false">IF($E169="",$K169,MAX($K169,INDEX($K$6:$K$225,MATCH($E169,$B$6:$B$225,0))))</f>
        <v>60</v>
      </c>
      <c r="G169" s="7" t="str">
        <f aca="false">IF($E169="",VLOOKUP($D169,Категории!$A$5:$C$17,3,FALSE()),"п. 21 — по пом. "&amp;$E169)</f>
        <v>п. 6</v>
      </c>
      <c r="H169" s="5" t="n">
        <f aca="false">MAX($F169+15,65)</f>
        <v>75</v>
      </c>
      <c r="I169" s="7" t="str">
        <f aca="false">IF($F169&lt;=65,"упрощённая оценка (п. 6.11.3)","нужен расчёт (прил. В / ПО изготовителя)")</f>
        <v>упрощённая оценка (п. 6.11.3)</v>
      </c>
      <c r="J169" s="7"/>
      <c r="K169" s="11" t="n">
        <f aca="false">VLOOKUP($D169,Категории!$A$5:$C$17,2,FALSE())</f>
        <v>60</v>
      </c>
    </row>
    <row r="170" customFormat="false" ht="15" hidden="false" customHeight="false" outlineLevel="0" collapsed="false">
      <c r="A170" s="5" t="n">
        <v>3</v>
      </c>
      <c r="B170" s="6" t="s">
        <v>247</v>
      </c>
      <c r="C170" s="7" t="s">
        <v>51</v>
      </c>
      <c r="D170" s="8" t="s">
        <v>48</v>
      </c>
      <c r="E170" s="9"/>
      <c r="F170" s="10" t="n">
        <f aca="false">IF($E170="",$K170,MAX($K170,INDEX($K$6:$K$225,MATCH($E170,$B$6:$B$225,0))))</f>
        <v>60</v>
      </c>
      <c r="G170" s="7" t="str">
        <f aca="false">IF($E170="",VLOOKUP($D170,Категории!$A$5:$C$17,3,FALSE()),"п. 21 — по пом. "&amp;$E170)</f>
        <v>п. 6</v>
      </c>
      <c r="H170" s="5" t="n">
        <f aca="false">MAX($F170+15,65)</f>
        <v>75</v>
      </c>
      <c r="I170" s="7" t="str">
        <f aca="false">IF($F170&lt;=65,"упрощённая оценка (п. 6.11.3)","нужен расчёт (прил. В / ПО изготовителя)")</f>
        <v>упрощённая оценка (п. 6.11.3)</v>
      </c>
      <c r="J170" s="7"/>
      <c r="K170" s="11" t="n">
        <f aca="false">VLOOKUP($D170,Категории!$A$5:$C$17,2,FALSE())</f>
        <v>60</v>
      </c>
    </row>
    <row r="171" customFormat="false" ht="15" hidden="false" customHeight="false" outlineLevel="0" collapsed="false">
      <c r="A171" s="5" t="n">
        <v>3</v>
      </c>
      <c r="B171" s="6" t="s">
        <v>248</v>
      </c>
      <c r="C171" s="7" t="s">
        <v>51</v>
      </c>
      <c r="D171" s="8" t="s">
        <v>48</v>
      </c>
      <c r="E171" s="9"/>
      <c r="F171" s="10" t="n">
        <f aca="false">IF($E171="",$K171,MAX($K171,INDEX($K$6:$K$225,MATCH($E171,$B$6:$B$225,0))))</f>
        <v>60</v>
      </c>
      <c r="G171" s="7" t="str">
        <f aca="false">IF($E171="",VLOOKUP($D171,Категории!$A$5:$C$17,3,FALSE()),"п. 21 — по пом. "&amp;$E171)</f>
        <v>п. 6</v>
      </c>
      <c r="H171" s="5" t="n">
        <f aca="false">MAX($F171+15,65)</f>
        <v>75</v>
      </c>
      <c r="I171" s="7" t="str">
        <f aca="false">IF($F171&lt;=65,"упрощённая оценка (п. 6.11.3)","нужен расчёт (прил. В / ПО изготовителя)")</f>
        <v>упрощённая оценка (п. 6.11.3)</v>
      </c>
      <c r="J171" s="7"/>
      <c r="K171" s="11" t="n">
        <f aca="false">VLOOKUP($D171,Категории!$A$5:$C$17,2,FALSE())</f>
        <v>60</v>
      </c>
    </row>
    <row r="172" customFormat="false" ht="15" hidden="false" customHeight="false" outlineLevel="0" collapsed="false">
      <c r="A172" s="5" t="n">
        <v>3</v>
      </c>
      <c r="B172" s="6" t="s">
        <v>249</v>
      </c>
      <c r="C172" s="7" t="s">
        <v>51</v>
      </c>
      <c r="D172" s="8" t="s">
        <v>48</v>
      </c>
      <c r="E172" s="9"/>
      <c r="F172" s="10" t="n">
        <f aca="false">IF($E172="",$K172,MAX($K172,INDEX($K$6:$K$225,MATCH($E172,$B$6:$B$225,0))))</f>
        <v>60</v>
      </c>
      <c r="G172" s="7" t="str">
        <f aca="false">IF($E172="",VLOOKUP($D172,Категории!$A$5:$C$17,3,FALSE()),"п. 21 — по пом. "&amp;$E172)</f>
        <v>п. 6</v>
      </c>
      <c r="H172" s="5" t="n">
        <f aca="false">MAX($F172+15,65)</f>
        <v>75</v>
      </c>
      <c r="I172" s="7" t="str">
        <f aca="false">IF($F172&lt;=65,"упрощённая оценка (п. 6.11.3)","нужен расчёт (прил. В / ПО изготовителя)")</f>
        <v>упрощённая оценка (п. 6.11.3)</v>
      </c>
      <c r="J172" s="7"/>
      <c r="K172" s="11" t="n">
        <f aca="false">VLOOKUP($D172,Категории!$A$5:$C$17,2,FALSE())</f>
        <v>60</v>
      </c>
    </row>
    <row r="173" customFormat="false" ht="15" hidden="false" customHeight="false" outlineLevel="0" collapsed="false">
      <c r="A173" s="5" t="n">
        <v>3</v>
      </c>
      <c r="B173" s="6" t="s">
        <v>250</v>
      </c>
      <c r="C173" s="7" t="s">
        <v>51</v>
      </c>
      <c r="D173" s="8" t="s">
        <v>48</v>
      </c>
      <c r="E173" s="9"/>
      <c r="F173" s="10" t="n">
        <f aca="false">IF($E173="",$K173,MAX($K173,INDEX($K$6:$K$225,MATCH($E173,$B$6:$B$225,0))))</f>
        <v>60</v>
      </c>
      <c r="G173" s="7" t="str">
        <f aca="false">IF($E173="",VLOOKUP($D173,Категории!$A$5:$C$17,3,FALSE()),"п. 21 — по пом. "&amp;$E173)</f>
        <v>п. 6</v>
      </c>
      <c r="H173" s="5" t="n">
        <f aca="false">MAX($F173+15,65)</f>
        <v>75</v>
      </c>
      <c r="I173" s="7" t="str">
        <f aca="false">IF($F173&lt;=65,"упрощённая оценка (п. 6.11.3)","нужен расчёт (прил. В / ПО изготовителя)")</f>
        <v>упрощённая оценка (п. 6.11.3)</v>
      </c>
      <c r="J173" s="7"/>
      <c r="K173" s="11" t="n">
        <f aca="false">VLOOKUP($D173,Категории!$A$5:$C$17,2,FALSE())</f>
        <v>60</v>
      </c>
    </row>
    <row r="174" customFormat="false" ht="15" hidden="false" customHeight="false" outlineLevel="0" collapsed="false">
      <c r="A174" s="5" t="n">
        <v>3</v>
      </c>
      <c r="B174" s="6" t="s">
        <v>251</v>
      </c>
      <c r="C174" s="7" t="s">
        <v>26</v>
      </c>
      <c r="D174" s="8" t="s">
        <v>27</v>
      </c>
      <c r="E174" s="9"/>
      <c r="F174" s="10" t="n">
        <f aca="false">IF($E174="",$K174,MAX($K174,INDEX($K$6:$K$225,MATCH($E174,$B$6:$B$225,0))))</f>
        <v>60</v>
      </c>
      <c r="G174" s="7" t="str">
        <f aca="false">IF($E174="",VLOOKUP($D174,Категории!$A$5:$C$17,3,FALSE()),"п. 21 — по пом. "&amp;$E174)</f>
        <v>п. 21</v>
      </c>
      <c r="H174" s="5" t="n">
        <f aca="false">MAX($F174+15,65)</f>
        <v>75</v>
      </c>
      <c r="I174" s="7" t="str">
        <f aca="false">IF($F174&lt;=65,"упрощённая оценка (п. 6.11.3)","нужен расчёт (прил. В / ПО изготовителя)")</f>
        <v>упрощённая оценка (п. 6.11.3)</v>
      </c>
      <c r="J174" s="7"/>
      <c r="K174" s="11" t="n">
        <f aca="false">VLOOKUP($D174,Категории!$A$5:$C$17,2,FALSE())</f>
        <v>60</v>
      </c>
    </row>
    <row r="175" customFormat="false" ht="15" hidden="false" customHeight="false" outlineLevel="0" collapsed="false">
      <c r="A175" s="5" t="n">
        <v>3</v>
      </c>
      <c r="B175" s="6" t="s">
        <v>252</v>
      </c>
      <c r="C175" s="7" t="s">
        <v>51</v>
      </c>
      <c r="D175" s="8" t="s">
        <v>48</v>
      </c>
      <c r="E175" s="9"/>
      <c r="F175" s="10" t="n">
        <f aca="false">IF($E175="",$K175,MAX($K175,INDEX($K$6:$K$225,MATCH($E175,$B$6:$B$225,0))))</f>
        <v>60</v>
      </c>
      <c r="G175" s="7" t="str">
        <f aca="false">IF($E175="",VLOOKUP($D175,Категории!$A$5:$C$17,3,FALSE()),"п. 21 — по пом. "&amp;$E175)</f>
        <v>п. 6</v>
      </c>
      <c r="H175" s="5" t="n">
        <f aca="false">MAX($F175+15,65)</f>
        <v>75</v>
      </c>
      <c r="I175" s="7" t="str">
        <f aca="false">IF($F175&lt;=65,"упрощённая оценка (п. 6.11.3)","нужен расчёт (прил. В / ПО изготовителя)")</f>
        <v>упрощённая оценка (п. 6.11.3)</v>
      </c>
      <c r="J175" s="7"/>
      <c r="K175" s="11" t="n">
        <f aca="false">VLOOKUP($D175,Категории!$A$5:$C$17,2,FALSE())</f>
        <v>60</v>
      </c>
    </row>
    <row r="176" customFormat="false" ht="15" hidden="false" customHeight="false" outlineLevel="0" collapsed="false">
      <c r="A176" s="5" t="n">
        <v>3</v>
      </c>
      <c r="B176" s="6" t="s">
        <v>253</v>
      </c>
      <c r="C176" s="7" t="s">
        <v>51</v>
      </c>
      <c r="D176" s="8" t="s">
        <v>48</v>
      </c>
      <c r="E176" s="9"/>
      <c r="F176" s="10" t="n">
        <f aca="false">IF($E176="",$K176,MAX($K176,INDEX($K$6:$K$225,MATCH($E176,$B$6:$B$225,0))))</f>
        <v>60</v>
      </c>
      <c r="G176" s="7" t="str">
        <f aca="false">IF($E176="",VLOOKUP($D176,Категории!$A$5:$C$17,3,FALSE()),"п. 21 — по пом. "&amp;$E176)</f>
        <v>п. 6</v>
      </c>
      <c r="H176" s="5" t="n">
        <f aca="false">MAX($F176+15,65)</f>
        <v>75</v>
      </c>
      <c r="I176" s="7" t="str">
        <f aca="false">IF($F176&lt;=65,"упрощённая оценка (п. 6.11.3)","нужен расчёт (прил. В / ПО изготовителя)")</f>
        <v>упрощённая оценка (п. 6.11.3)</v>
      </c>
      <c r="J176" s="7"/>
      <c r="K176" s="11" t="n">
        <f aca="false">VLOOKUP($D176,Категории!$A$5:$C$17,2,FALSE())</f>
        <v>60</v>
      </c>
    </row>
    <row r="177" customFormat="false" ht="15" hidden="false" customHeight="false" outlineLevel="0" collapsed="false">
      <c r="A177" s="5" t="n">
        <v>3</v>
      </c>
      <c r="B177" s="6" t="s">
        <v>254</v>
      </c>
      <c r="C177" s="7" t="s">
        <v>51</v>
      </c>
      <c r="D177" s="8" t="s">
        <v>48</v>
      </c>
      <c r="E177" s="9"/>
      <c r="F177" s="10" t="n">
        <f aca="false">IF($E177="",$K177,MAX($K177,INDEX($K$6:$K$225,MATCH($E177,$B$6:$B$225,0))))</f>
        <v>60</v>
      </c>
      <c r="G177" s="7" t="str">
        <f aca="false">IF($E177="",VLOOKUP($D177,Категории!$A$5:$C$17,3,FALSE()),"п. 21 — по пом. "&amp;$E177)</f>
        <v>п. 6</v>
      </c>
      <c r="H177" s="5" t="n">
        <f aca="false">MAX($F177+15,65)</f>
        <v>75</v>
      </c>
      <c r="I177" s="7" t="str">
        <f aca="false">IF($F177&lt;=65,"упрощённая оценка (п. 6.11.3)","нужен расчёт (прил. В / ПО изготовителя)")</f>
        <v>упрощённая оценка (п. 6.11.3)</v>
      </c>
      <c r="J177" s="7"/>
      <c r="K177" s="11" t="n">
        <f aca="false">VLOOKUP($D177,Категории!$A$5:$C$17,2,FALSE())</f>
        <v>60</v>
      </c>
    </row>
    <row r="178" customFormat="false" ht="15" hidden="false" customHeight="false" outlineLevel="0" collapsed="false">
      <c r="A178" s="5" t="n">
        <v>3</v>
      </c>
      <c r="B178" s="6" t="s">
        <v>255</v>
      </c>
      <c r="C178" s="7" t="s">
        <v>26</v>
      </c>
      <c r="D178" s="8" t="s">
        <v>27</v>
      </c>
      <c r="E178" s="9"/>
      <c r="F178" s="10" t="n">
        <f aca="false">IF($E178="",$K178,MAX($K178,INDEX($K$6:$K$225,MATCH($E178,$B$6:$B$225,0))))</f>
        <v>60</v>
      </c>
      <c r="G178" s="7" t="str">
        <f aca="false">IF($E178="",VLOOKUP($D178,Категории!$A$5:$C$17,3,FALSE()),"п. 21 — по пом. "&amp;$E178)</f>
        <v>п. 21</v>
      </c>
      <c r="H178" s="5" t="n">
        <f aca="false">MAX($F178+15,65)</f>
        <v>75</v>
      </c>
      <c r="I178" s="7" t="str">
        <f aca="false">IF($F178&lt;=65,"упрощённая оценка (п. 6.11.3)","нужен расчёт (прил. В / ПО изготовителя)")</f>
        <v>упрощённая оценка (п. 6.11.3)</v>
      </c>
      <c r="J178" s="7"/>
      <c r="K178" s="11" t="n">
        <f aca="false">VLOOKUP($D178,Категории!$A$5:$C$17,2,FALSE())</f>
        <v>60</v>
      </c>
    </row>
    <row r="179" customFormat="false" ht="15" hidden="false" customHeight="false" outlineLevel="0" collapsed="false">
      <c r="A179" s="5" t="n">
        <v>3</v>
      </c>
      <c r="B179" s="6" t="s">
        <v>256</v>
      </c>
      <c r="C179" s="7" t="s">
        <v>98</v>
      </c>
      <c r="D179" s="8" t="s">
        <v>99</v>
      </c>
      <c r="E179" s="9"/>
      <c r="F179" s="10" t="n">
        <f aca="false">IF($E179="",$K179,MAX($K179,INDEX($K$6:$K$225,MATCH($E179,$B$6:$B$225,0))))</f>
        <v>55</v>
      </c>
      <c r="G179" s="7" t="str">
        <f aca="false">IF($E179="",VLOOKUP($D179,Категории!$A$5:$C$17,3,FALSE()),"п. 21 — по пом. "&amp;$E179)</f>
        <v>п. 28</v>
      </c>
      <c r="H179" s="5" t="n">
        <f aca="false">MAX($F179+15,65)</f>
        <v>70</v>
      </c>
      <c r="I179" s="7" t="str">
        <f aca="false">IF($F179&lt;=65,"упрощённая оценка (п. 6.11.3)","нужен расчёт (прил. В / ПО изготовителя)")</f>
        <v>упрощённая оценка (п. 6.11.3)</v>
      </c>
      <c r="J179" s="7"/>
      <c r="K179" s="11" t="n">
        <f aca="false">VLOOKUP($D179,Категории!$A$5:$C$17,2,FALSE())</f>
        <v>55</v>
      </c>
    </row>
    <row r="180" customFormat="false" ht="15" hidden="false" customHeight="false" outlineLevel="0" collapsed="false">
      <c r="A180" s="5" t="n">
        <v>3</v>
      </c>
      <c r="B180" s="6" t="s">
        <v>257</v>
      </c>
      <c r="C180" s="7" t="s">
        <v>98</v>
      </c>
      <c r="D180" s="8" t="s">
        <v>99</v>
      </c>
      <c r="E180" s="9"/>
      <c r="F180" s="10" t="n">
        <f aca="false">IF($E180="",$K180,MAX($K180,INDEX($K$6:$K$225,MATCH($E180,$B$6:$B$225,0))))</f>
        <v>55</v>
      </c>
      <c r="G180" s="7" t="str">
        <f aca="false">IF($E180="",VLOOKUP($D180,Категории!$A$5:$C$17,3,FALSE()),"п. 21 — по пом. "&amp;$E180)</f>
        <v>п. 28</v>
      </c>
      <c r="H180" s="5" t="n">
        <f aca="false">MAX($F180+15,65)</f>
        <v>70</v>
      </c>
      <c r="I180" s="7" t="str">
        <f aca="false">IF($F180&lt;=65,"упрощённая оценка (п. 6.11.3)","нужен расчёт (прил. В / ПО изготовителя)")</f>
        <v>упрощённая оценка (п. 6.11.3)</v>
      </c>
      <c r="J180" s="7"/>
      <c r="K180" s="11" t="n">
        <f aca="false">VLOOKUP($D180,Категории!$A$5:$C$17,2,FALSE())</f>
        <v>55</v>
      </c>
    </row>
    <row r="181" customFormat="false" ht="15" hidden="false" customHeight="false" outlineLevel="0" collapsed="false">
      <c r="A181" s="5" t="n">
        <v>3</v>
      </c>
      <c r="B181" s="6" t="s">
        <v>258</v>
      </c>
      <c r="C181" s="7" t="s">
        <v>26</v>
      </c>
      <c r="D181" s="8" t="s">
        <v>27</v>
      </c>
      <c r="E181" s="9"/>
      <c r="F181" s="10" t="n">
        <f aca="false">IF($E181="",$K181,MAX($K181,INDEX($K$6:$K$225,MATCH($E181,$B$6:$B$225,0))))</f>
        <v>60</v>
      </c>
      <c r="G181" s="7" t="str">
        <f aca="false">IF($E181="",VLOOKUP($D181,Категории!$A$5:$C$17,3,FALSE()),"п. 21 — по пом. "&amp;$E181)</f>
        <v>п. 21</v>
      </c>
      <c r="H181" s="5" t="n">
        <f aca="false">MAX($F181+15,65)</f>
        <v>75</v>
      </c>
      <c r="I181" s="7" t="str">
        <f aca="false">IF($F181&lt;=65,"упрощённая оценка (п. 6.11.3)","нужен расчёт (прил. В / ПО изготовителя)")</f>
        <v>упрощённая оценка (п. 6.11.3)</v>
      </c>
      <c r="J181" s="7"/>
      <c r="K181" s="11" t="n">
        <f aca="false">VLOOKUP($D181,Категории!$A$5:$C$17,2,FALSE())</f>
        <v>60</v>
      </c>
    </row>
    <row r="182" customFormat="false" ht="15" hidden="false" customHeight="false" outlineLevel="0" collapsed="false">
      <c r="A182" s="5" t="n">
        <v>3</v>
      </c>
      <c r="B182" s="6" t="s">
        <v>259</v>
      </c>
      <c r="C182" s="7" t="s">
        <v>98</v>
      </c>
      <c r="D182" s="8" t="s">
        <v>99</v>
      </c>
      <c r="E182" s="9"/>
      <c r="F182" s="10" t="n">
        <f aca="false">IF($E182="",$K182,MAX($K182,INDEX($K$6:$K$225,MATCH($E182,$B$6:$B$225,0))))</f>
        <v>55</v>
      </c>
      <c r="G182" s="7" t="str">
        <f aca="false">IF($E182="",VLOOKUP($D182,Категории!$A$5:$C$17,3,FALSE()),"п. 21 — по пом. "&amp;$E182)</f>
        <v>п. 28</v>
      </c>
      <c r="H182" s="5" t="n">
        <f aca="false">MAX($F182+15,65)</f>
        <v>70</v>
      </c>
      <c r="I182" s="7" t="str">
        <f aca="false">IF($F182&lt;=65,"упрощённая оценка (п. 6.11.3)","нужен расчёт (прил. В / ПО изготовителя)")</f>
        <v>упрощённая оценка (п. 6.11.3)</v>
      </c>
      <c r="J182" s="7"/>
      <c r="K182" s="11" t="n">
        <f aca="false">VLOOKUP($D182,Категории!$A$5:$C$17,2,FALSE())</f>
        <v>55</v>
      </c>
    </row>
    <row r="183" customFormat="false" ht="15" hidden="false" customHeight="false" outlineLevel="0" collapsed="false">
      <c r="A183" s="5" t="n">
        <v>3</v>
      </c>
      <c r="B183" s="6" t="s">
        <v>260</v>
      </c>
      <c r="C183" s="7" t="s">
        <v>26</v>
      </c>
      <c r="D183" s="8" t="s">
        <v>27</v>
      </c>
      <c r="E183" s="9"/>
      <c r="F183" s="10" t="n">
        <f aca="false">IF($E183="",$K183,MAX($K183,INDEX($K$6:$K$225,MATCH($E183,$B$6:$B$225,0))))</f>
        <v>60</v>
      </c>
      <c r="G183" s="7" t="str">
        <f aca="false">IF($E183="",VLOOKUP($D183,Категории!$A$5:$C$17,3,FALSE()),"п. 21 — по пом. "&amp;$E183)</f>
        <v>п. 21</v>
      </c>
      <c r="H183" s="5" t="n">
        <f aca="false">MAX($F183+15,65)</f>
        <v>75</v>
      </c>
      <c r="I183" s="7" t="str">
        <f aca="false">IF($F183&lt;=65,"упрощённая оценка (п. 6.11.3)","нужен расчёт (прил. В / ПО изготовителя)")</f>
        <v>упрощённая оценка (п. 6.11.3)</v>
      </c>
      <c r="J183" s="7"/>
      <c r="K183" s="11" t="n">
        <f aca="false">VLOOKUP($D183,Категории!$A$5:$C$17,2,FALSE())</f>
        <v>60</v>
      </c>
    </row>
    <row r="184" customFormat="false" ht="15" hidden="false" customHeight="false" outlineLevel="0" collapsed="false">
      <c r="A184" s="5" t="n">
        <v>3</v>
      </c>
      <c r="B184" s="6" t="s">
        <v>261</v>
      </c>
      <c r="C184" s="7" t="s">
        <v>34</v>
      </c>
      <c r="D184" s="8" t="s">
        <v>27</v>
      </c>
      <c r="E184" s="9"/>
      <c r="F184" s="10" t="n">
        <f aca="false">IF($E184="",$K184,MAX($K184,INDEX($K$6:$K$225,MATCH($E184,$B$6:$B$225,0))))</f>
        <v>60</v>
      </c>
      <c r="G184" s="7" t="str">
        <f aca="false">IF($E184="",VLOOKUP($D184,Категории!$A$5:$C$17,3,FALSE()),"п. 21 — по пом. "&amp;$E184)</f>
        <v>п. 21</v>
      </c>
      <c r="H184" s="5" t="n">
        <f aca="false">MAX($F184+15,65)</f>
        <v>75</v>
      </c>
      <c r="I184" s="7" t="str">
        <f aca="false">IF($F184&lt;=65,"упрощённая оценка (п. 6.11.3)","нужен расчёт (прил. В / ПО изготовителя)")</f>
        <v>упрощённая оценка (п. 6.11.3)</v>
      </c>
      <c r="J184" s="7"/>
      <c r="K184" s="11" t="n">
        <f aca="false">VLOOKUP($D184,Категории!$A$5:$C$17,2,FALSE())</f>
        <v>60</v>
      </c>
    </row>
    <row r="185" customFormat="false" ht="15" hidden="false" customHeight="false" outlineLevel="0" collapsed="false">
      <c r="A185" s="5" t="n">
        <v>3</v>
      </c>
      <c r="B185" s="6" t="s">
        <v>262</v>
      </c>
      <c r="C185" s="7" t="s">
        <v>51</v>
      </c>
      <c r="D185" s="8" t="s">
        <v>48</v>
      </c>
      <c r="E185" s="9"/>
      <c r="F185" s="10" t="n">
        <f aca="false">IF($E185="",$K185,MAX($K185,INDEX($K$6:$K$225,MATCH($E185,$B$6:$B$225,0))))</f>
        <v>60</v>
      </c>
      <c r="G185" s="7" t="str">
        <f aca="false">IF($E185="",VLOOKUP($D185,Категории!$A$5:$C$17,3,FALSE()),"п. 21 — по пом. "&amp;$E185)</f>
        <v>п. 6</v>
      </c>
      <c r="H185" s="5" t="n">
        <f aca="false">MAX($F185+15,65)</f>
        <v>75</v>
      </c>
      <c r="I185" s="7" t="str">
        <f aca="false">IF($F185&lt;=65,"упрощённая оценка (п. 6.11.3)","нужен расчёт (прил. В / ПО изготовителя)")</f>
        <v>упрощённая оценка (п. 6.11.3)</v>
      </c>
      <c r="J185" s="7"/>
      <c r="K185" s="11" t="n">
        <f aca="false">VLOOKUP($D185,Категории!$A$5:$C$17,2,FALSE())</f>
        <v>60</v>
      </c>
    </row>
    <row r="186" customFormat="false" ht="15" hidden="false" customHeight="false" outlineLevel="0" collapsed="false">
      <c r="A186" s="5" t="n">
        <v>4</v>
      </c>
      <c r="B186" s="6" t="s">
        <v>263</v>
      </c>
      <c r="C186" s="7" t="s">
        <v>142</v>
      </c>
      <c r="D186" s="8" t="s">
        <v>48</v>
      </c>
      <c r="E186" s="9"/>
      <c r="F186" s="10" t="n">
        <f aca="false">IF($E186="",$K186,MAX($K186,INDEX($K$6:$K$225,MATCH($E186,$B$6:$B$225,0))))</f>
        <v>60</v>
      </c>
      <c r="G186" s="7" t="str">
        <f aca="false">IF($E186="",VLOOKUP($D186,Категории!$A$5:$C$17,3,FALSE()),"п. 21 — по пом. "&amp;$E186)</f>
        <v>п. 6</v>
      </c>
      <c r="H186" s="5" t="n">
        <f aca="false">MAX($F186+15,65)</f>
        <v>75</v>
      </c>
      <c r="I186" s="7" t="str">
        <f aca="false">IF($F186&lt;=65,"упрощённая оценка (п. 6.11.3)","нужен расчёт (прил. В / ПО изготовителя)")</f>
        <v>упрощённая оценка (п. 6.11.3)</v>
      </c>
      <c r="J186" s="7"/>
      <c r="K186" s="11" t="n">
        <f aca="false">VLOOKUP($D186,Категории!$A$5:$C$17,2,FALSE())</f>
        <v>60</v>
      </c>
    </row>
    <row r="187" customFormat="false" ht="15" hidden="false" customHeight="false" outlineLevel="0" collapsed="false">
      <c r="A187" s="5" t="n">
        <v>4</v>
      </c>
      <c r="B187" s="6" t="s">
        <v>264</v>
      </c>
      <c r="C187" s="7" t="s">
        <v>51</v>
      </c>
      <c r="D187" s="8" t="s">
        <v>48</v>
      </c>
      <c r="E187" s="9"/>
      <c r="F187" s="10" t="n">
        <f aca="false">IF($E187="",$K187,MAX($K187,INDEX($K$6:$K$225,MATCH($E187,$B$6:$B$225,0))))</f>
        <v>60</v>
      </c>
      <c r="G187" s="7" t="str">
        <f aca="false">IF($E187="",VLOOKUP($D187,Категории!$A$5:$C$17,3,FALSE()),"п. 21 — по пом. "&amp;$E187)</f>
        <v>п. 6</v>
      </c>
      <c r="H187" s="5" t="n">
        <f aca="false">MAX($F187+15,65)</f>
        <v>75</v>
      </c>
      <c r="I187" s="7" t="str">
        <f aca="false">IF($F187&lt;=65,"упрощённая оценка (п. 6.11.3)","нужен расчёт (прил. В / ПО изготовителя)")</f>
        <v>упрощённая оценка (п. 6.11.3)</v>
      </c>
      <c r="J187" s="7"/>
      <c r="K187" s="11" t="n">
        <f aca="false">VLOOKUP($D187,Категории!$A$5:$C$17,2,FALSE())</f>
        <v>60</v>
      </c>
    </row>
    <row r="188" customFormat="false" ht="15" hidden="false" customHeight="false" outlineLevel="0" collapsed="false">
      <c r="A188" s="5" t="n">
        <v>4</v>
      </c>
      <c r="B188" s="6" t="s">
        <v>265</v>
      </c>
      <c r="C188" s="7" t="s">
        <v>142</v>
      </c>
      <c r="D188" s="8" t="s">
        <v>48</v>
      </c>
      <c r="E188" s="9"/>
      <c r="F188" s="10" t="n">
        <f aca="false">IF($E188="",$K188,MAX($K188,INDEX($K$6:$K$225,MATCH($E188,$B$6:$B$225,0))))</f>
        <v>60</v>
      </c>
      <c r="G188" s="7" t="str">
        <f aca="false">IF($E188="",VLOOKUP($D188,Категории!$A$5:$C$17,3,FALSE()),"п. 21 — по пом. "&amp;$E188)</f>
        <v>п. 6</v>
      </c>
      <c r="H188" s="5" t="n">
        <f aca="false">MAX($F188+15,65)</f>
        <v>75</v>
      </c>
      <c r="I188" s="7" t="str">
        <f aca="false">IF($F188&lt;=65,"упрощённая оценка (п. 6.11.3)","нужен расчёт (прил. В / ПО изготовителя)")</f>
        <v>упрощённая оценка (п. 6.11.3)</v>
      </c>
      <c r="J188" s="7"/>
      <c r="K188" s="11" t="n">
        <f aca="false">VLOOKUP($D188,Категории!$A$5:$C$17,2,FALSE())</f>
        <v>60</v>
      </c>
    </row>
    <row r="189" customFormat="false" ht="15" hidden="false" customHeight="false" outlineLevel="0" collapsed="false">
      <c r="A189" s="5" t="n">
        <v>4</v>
      </c>
      <c r="B189" s="6" t="s">
        <v>266</v>
      </c>
      <c r="C189" s="7" t="s">
        <v>51</v>
      </c>
      <c r="D189" s="8" t="s">
        <v>48</v>
      </c>
      <c r="E189" s="9"/>
      <c r="F189" s="10" t="n">
        <f aca="false">IF($E189="",$K189,MAX($K189,INDEX($K$6:$K$225,MATCH($E189,$B$6:$B$225,0))))</f>
        <v>60</v>
      </c>
      <c r="G189" s="7" t="str">
        <f aca="false">IF($E189="",VLOOKUP($D189,Категории!$A$5:$C$17,3,FALSE()),"п. 21 — по пом. "&amp;$E189)</f>
        <v>п. 6</v>
      </c>
      <c r="H189" s="5" t="n">
        <f aca="false">MAX($F189+15,65)</f>
        <v>75</v>
      </c>
      <c r="I189" s="7" t="str">
        <f aca="false">IF($F189&lt;=65,"упрощённая оценка (п. 6.11.3)","нужен расчёт (прил. В / ПО изготовителя)")</f>
        <v>упрощённая оценка (п. 6.11.3)</v>
      </c>
      <c r="J189" s="7"/>
      <c r="K189" s="11" t="n">
        <f aca="false">VLOOKUP($D189,Категории!$A$5:$C$17,2,FALSE())</f>
        <v>60</v>
      </c>
    </row>
    <row r="190" customFormat="false" ht="15" hidden="false" customHeight="false" outlineLevel="0" collapsed="false">
      <c r="A190" s="5" t="n">
        <v>4</v>
      </c>
      <c r="B190" s="6" t="s">
        <v>267</v>
      </c>
      <c r="C190" s="7" t="s">
        <v>142</v>
      </c>
      <c r="D190" s="8" t="s">
        <v>48</v>
      </c>
      <c r="E190" s="9"/>
      <c r="F190" s="10" t="n">
        <f aca="false">IF($E190="",$K190,MAX($K190,INDEX($K$6:$K$225,MATCH($E190,$B$6:$B$225,0))))</f>
        <v>60</v>
      </c>
      <c r="G190" s="7" t="str">
        <f aca="false">IF($E190="",VLOOKUP($D190,Категории!$A$5:$C$17,3,FALSE()),"п. 21 — по пом. "&amp;$E190)</f>
        <v>п. 6</v>
      </c>
      <c r="H190" s="5" t="n">
        <f aca="false">MAX($F190+15,65)</f>
        <v>75</v>
      </c>
      <c r="I190" s="7" t="str">
        <f aca="false">IF($F190&lt;=65,"упрощённая оценка (п. 6.11.3)","нужен расчёт (прил. В / ПО изготовителя)")</f>
        <v>упрощённая оценка (п. 6.11.3)</v>
      </c>
      <c r="J190" s="7"/>
      <c r="K190" s="11" t="n">
        <f aca="false">VLOOKUP($D190,Категории!$A$5:$C$17,2,FALSE())</f>
        <v>60</v>
      </c>
    </row>
    <row r="191" customFormat="false" ht="15" hidden="false" customHeight="false" outlineLevel="0" collapsed="false">
      <c r="A191" s="5" t="n">
        <v>4</v>
      </c>
      <c r="B191" s="6" t="s">
        <v>268</v>
      </c>
      <c r="C191" s="7" t="s">
        <v>51</v>
      </c>
      <c r="D191" s="8" t="s">
        <v>48</v>
      </c>
      <c r="E191" s="9"/>
      <c r="F191" s="10" t="n">
        <f aca="false">IF($E191="",$K191,MAX($K191,INDEX($K$6:$K$225,MATCH($E191,$B$6:$B$225,0))))</f>
        <v>60</v>
      </c>
      <c r="G191" s="7" t="str">
        <f aca="false">IF($E191="",VLOOKUP($D191,Категории!$A$5:$C$17,3,FALSE()),"п. 21 — по пом. "&amp;$E191)</f>
        <v>п. 6</v>
      </c>
      <c r="H191" s="5" t="n">
        <f aca="false">MAX($F191+15,65)</f>
        <v>75</v>
      </c>
      <c r="I191" s="7" t="str">
        <f aca="false">IF($F191&lt;=65,"упрощённая оценка (п. 6.11.3)","нужен расчёт (прил. В / ПО изготовителя)")</f>
        <v>упрощённая оценка (п. 6.11.3)</v>
      </c>
      <c r="J191" s="7"/>
      <c r="K191" s="11" t="n">
        <f aca="false">VLOOKUP($D191,Категории!$A$5:$C$17,2,FALSE())</f>
        <v>60</v>
      </c>
    </row>
    <row r="192" customFormat="false" ht="15" hidden="false" customHeight="false" outlineLevel="0" collapsed="false">
      <c r="A192" s="5" t="n">
        <v>4</v>
      </c>
      <c r="B192" s="6" t="s">
        <v>269</v>
      </c>
      <c r="C192" s="7" t="s">
        <v>34</v>
      </c>
      <c r="D192" s="8" t="s">
        <v>27</v>
      </c>
      <c r="E192" s="9"/>
      <c r="F192" s="10" t="n">
        <f aca="false">IF($E192="",$K192,MAX($K192,INDEX($K$6:$K$225,MATCH($E192,$B$6:$B$225,0))))</f>
        <v>60</v>
      </c>
      <c r="G192" s="7" t="str">
        <f aca="false">IF($E192="",VLOOKUP($D192,Категории!$A$5:$C$17,3,FALSE()),"п. 21 — по пом. "&amp;$E192)</f>
        <v>п. 21</v>
      </c>
      <c r="H192" s="5" t="n">
        <f aca="false">MAX($F192+15,65)</f>
        <v>75</v>
      </c>
      <c r="I192" s="7" t="str">
        <f aca="false">IF($F192&lt;=65,"упрощённая оценка (п. 6.11.3)","нужен расчёт (прил. В / ПО изготовителя)")</f>
        <v>упрощённая оценка (п. 6.11.3)</v>
      </c>
      <c r="J192" s="7"/>
      <c r="K192" s="11" t="n">
        <f aca="false">VLOOKUP($D192,Категории!$A$5:$C$17,2,FALSE())</f>
        <v>60</v>
      </c>
    </row>
    <row r="193" customFormat="false" ht="15" hidden="false" customHeight="false" outlineLevel="0" collapsed="false">
      <c r="A193" s="5" t="n">
        <v>4</v>
      </c>
      <c r="B193" s="6" t="s">
        <v>270</v>
      </c>
      <c r="C193" s="7" t="s">
        <v>26</v>
      </c>
      <c r="D193" s="8" t="s">
        <v>27</v>
      </c>
      <c r="E193" s="9"/>
      <c r="F193" s="10" t="n">
        <f aca="false">IF($E193="",$K193,MAX($K193,INDEX($K$6:$K$225,MATCH($E193,$B$6:$B$225,0))))</f>
        <v>60</v>
      </c>
      <c r="G193" s="7" t="str">
        <f aca="false">IF($E193="",VLOOKUP($D193,Категории!$A$5:$C$17,3,FALSE()),"п. 21 — по пом. "&amp;$E193)</f>
        <v>п. 21</v>
      </c>
      <c r="H193" s="5" t="n">
        <f aca="false">MAX($F193+15,65)</f>
        <v>75</v>
      </c>
      <c r="I193" s="7" t="str">
        <f aca="false">IF($F193&lt;=65,"упрощённая оценка (п. 6.11.3)","нужен расчёт (прил. В / ПО изготовителя)")</f>
        <v>упрощённая оценка (п. 6.11.3)</v>
      </c>
      <c r="J193" s="7"/>
      <c r="K193" s="11" t="n">
        <f aca="false">VLOOKUP($D193,Категории!$A$5:$C$17,2,FALSE())</f>
        <v>60</v>
      </c>
    </row>
    <row r="194" customFormat="false" ht="15" hidden="false" customHeight="false" outlineLevel="0" collapsed="false">
      <c r="A194" s="5" t="n">
        <v>4</v>
      </c>
      <c r="B194" s="6" t="s">
        <v>271</v>
      </c>
      <c r="C194" s="7" t="s">
        <v>34</v>
      </c>
      <c r="D194" s="8" t="s">
        <v>27</v>
      </c>
      <c r="E194" s="9"/>
      <c r="F194" s="10" t="n">
        <f aca="false">IF($E194="",$K194,MAX($K194,INDEX($K$6:$K$225,MATCH($E194,$B$6:$B$225,0))))</f>
        <v>60</v>
      </c>
      <c r="G194" s="7" t="str">
        <f aca="false">IF($E194="",VLOOKUP($D194,Категории!$A$5:$C$17,3,FALSE()),"п. 21 — по пом. "&amp;$E194)</f>
        <v>п. 21</v>
      </c>
      <c r="H194" s="5" t="n">
        <f aca="false">MAX($F194+15,65)</f>
        <v>75</v>
      </c>
      <c r="I194" s="7" t="str">
        <f aca="false">IF($F194&lt;=65,"упрощённая оценка (п. 6.11.3)","нужен расчёт (прил. В / ПО изготовителя)")</f>
        <v>упрощённая оценка (п. 6.11.3)</v>
      </c>
      <c r="J194" s="7"/>
      <c r="K194" s="11" t="n">
        <f aca="false">VLOOKUP($D194,Категории!$A$5:$C$17,2,FALSE())</f>
        <v>60</v>
      </c>
    </row>
    <row r="195" customFormat="false" ht="15" hidden="false" customHeight="false" outlineLevel="0" collapsed="false">
      <c r="A195" s="5" t="n">
        <v>4</v>
      </c>
      <c r="B195" s="6" t="s">
        <v>272</v>
      </c>
      <c r="C195" s="7" t="s">
        <v>51</v>
      </c>
      <c r="D195" s="8" t="s">
        <v>48</v>
      </c>
      <c r="E195" s="9"/>
      <c r="F195" s="10" t="n">
        <f aca="false">IF($E195="",$K195,MAX($K195,INDEX($K$6:$K$225,MATCH($E195,$B$6:$B$225,0))))</f>
        <v>60</v>
      </c>
      <c r="G195" s="7" t="str">
        <f aca="false">IF($E195="",VLOOKUP($D195,Категории!$A$5:$C$17,3,FALSE()),"п. 21 — по пом. "&amp;$E195)</f>
        <v>п. 6</v>
      </c>
      <c r="H195" s="5" t="n">
        <f aca="false">MAX($F195+15,65)</f>
        <v>75</v>
      </c>
      <c r="I195" s="7" t="str">
        <f aca="false">IF($F195&lt;=65,"упрощённая оценка (п. 6.11.3)","нужен расчёт (прил. В / ПО изготовителя)")</f>
        <v>упрощённая оценка (п. 6.11.3)</v>
      </c>
      <c r="J195" s="7"/>
      <c r="K195" s="11" t="n">
        <f aca="false">VLOOKUP($D195,Категории!$A$5:$C$17,2,FALSE())</f>
        <v>60</v>
      </c>
    </row>
    <row r="196" customFormat="false" ht="15" hidden="false" customHeight="false" outlineLevel="0" collapsed="false">
      <c r="A196" s="5" t="n">
        <v>4</v>
      </c>
      <c r="B196" s="6" t="s">
        <v>273</v>
      </c>
      <c r="C196" s="7" t="s">
        <v>26</v>
      </c>
      <c r="D196" s="8" t="s">
        <v>27</v>
      </c>
      <c r="E196" s="9"/>
      <c r="F196" s="10" t="n">
        <f aca="false">IF($E196="",$K196,MAX($K196,INDEX($K$6:$K$225,MATCH($E196,$B$6:$B$225,0))))</f>
        <v>60</v>
      </c>
      <c r="G196" s="7" t="str">
        <f aca="false">IF($E196="",VLOOKUP($D196,Категории!$A$5:$C$17,3,FALSE()),"п. 21 — по пом. "&amp;$E196)</f>
        <v>п. 21</v>
      </c>
      <c r="H196" s="5" t="n">
        <f aca="false">MAX($F196+15,65)</f>
        <v>75</v>
      </c>
      <c r="I196" s="7" t="str">
        <f aca="false">IF($F196&lt;=65,"упрощённая оценка (п. 6.11.3)","нужен расчёт (прил. В / ПО изготовителя)")</f>
        <v>упрощённая оценка (п. 6.11.3)</v>
      </c>
      <c r="J196" s="7"/>
      <c r="K196" s="11" t="n">
        <f aca="false">VLOOKUP($D196,Категории!$A$5:$C$17,2,FALSE())</f>
        <v>60</v>
      </c>
    </row>
    <row r="197" customFormat="false" ht="15" hidden="false" customHeight="false" outlineLevel="0" collapsed="false">
      <c r="A197" s="5" t="n">
        <v>4</v>
      </c>
      <c r="B197" s="6" t="s">
        <v>274</v>
      </c>
      <c r="C197" s="7" t="s">
        <v>98</v>
      </c>
      <c r="D197" s="8" t="s">
        <v>99</v>
      </c>
      <c r="E197" s="9"/>
      <c r="F197" s="10" t="n">
        <f aca="false">IF($E197="",$K197,MAX($K197,INDEX($K$6:$K$225,MATCH($E197,$B$6:$B$225,0))))</f>
        <v>55</v>
      </c>
      <c r="G197" s="7" t="str">
        <f aca="false">IF($E197="",VLOOKUP($D197,Категории!$A$5:$C$17,3,FALSE()),"п. 21 — по пом. "&amp;$E197)</f>
        <v>п. 28</v>
      </c>
      <c r="H197" s="5" t="n">
        <f aca="false">MAX($F197+15,65)</f>
        <v>70</v>
      </c>
      <c r="I197" s="7" t="str">
        <f aca="false">IF($F197&lt;=65,"упрощённая оценка (п. 6.11.3)","нужен расчёт (прил. В / ПО изготовителя)")</f>
        <v>упрощённая оценка (п. 6.11.3)</v>
      </c>
      <c r="J197" s="7"/>
      <c r="K197" s="11" t="n">
        <f aca="false">VLOOKUP($D197,Категории!$A$5:$C$17,2,FALSE())</f>
        <v>55</v>
      </c>
    </row>
    <row r="198" customFormat="false" ht="15" hidden="false" customHeight="false" outlineLevel="0" collapsed="false">
      <c r="A198" s="5" t="n">
        <v>4</v>
      </c>
      <c r="B198" s="6" t="s">
        <v>275</v>
      </c>
      <c r="C198" s="7" t="s">
        <v>90</v>
      </c>
      <c r="D198" s="8" t="s">
        <v>37</v>
      </c>
      <c r="E198" s="9"/>
      <c r="F198" s="10" t="n">
        <f aca="false">IF($E198="",$K198,MAX($K198,INDEX($K$6:$K$225,MATCH($E198,$B$6:$B$225,0))))</f>
        <v>60</v>
      </c>
      <c r="G198" s="7" t="str">
        <f aca="false">IF($E198="",VLOOKUP($D198,Категории!$A$5:$C$17,3,FALSE()),"п. 21 — по пом. "&amp;$E198)</f>
        <v>по аналогии с п. 6</v>
      </c>
      <c r="H198" s="5" t="n">
        <f aca="false">MAX($F198+15,65)</f>
        <v>75</v>
      </c>
      <c r="I198" s="7" t="str">
        <f aca="false">IF($F198&lt;=65,"упрощённая оценка (п. 6.11.3)","нужен расчёт (прил. В / ПО изготовителя)")</f>
        <v>упрощённая оценка (п. 6.11.3)</v>
      </c>
      <c r="J198" s="7"/>
      <c r="K198" s="11" t="n">
        <f aca="false">VLOOKUP($D198,Категории!$A$5:$C$17,2,FALSE())</f>
        <v>60</v>
      </c>
    </row>
    <row r="199" customFormat="false" ht="15" hidden="false" customHeight="false" outlineLevel="0" collapsed="false">
      <c r="A199" s="5" t="n">
        <v>4</v>
      </c>
      <c r="B199" s="6" t="s">
        <v>276</v>
      </c>
      <c r="C199" s="7" t="s">
        <v>98</v>
      </c>
      <c r="D199" s="8" t="s">
        <v>99</v>
      </c>
      <c r="E199" s="9"/>
      <c r="F199" s="10" t="n">
        <f aca="false">IF($E199="",$K199,MAX($K199,INDEX($K$6:$K$225,MATCH($E199,$B$6:$B$225,0))))</f>
        <v>55</v>
      </c>
      <c r="G199" s="7" t="str">
        <f aca="false">IF($E199="",VLOOKUP($D199,Категории!$A$5:$C$17,3,FALSE()),"п. 21 — по пом. "&amp;$E199)</f>
        <v>п. 28</v>
      </c>
      <c r="H199" s="5" t="n">
        <f aca="false">MAX($F199+15,65)</f>
        <v>70</v>
      </c>
      <c r="I199" s="7" t="str">
        <f aca="false">IF($F199&lt;=65,"упрощённая оценка (п. 6.11.3)","нужен расчёт (прил. В / ПО изготовителя)")</f>
        <v>упрощённая оценка (п. 6.11.3)</v>
      </c>
      <c r="J199" s="7"/>
      <c r="K199" s="11" t="n">
        <f aca="false">VLOOKUP($D199,Категории!$A$5:$C$17,2,FALSE())</f>
        <v>55</v>
      </c>
    </row>
    <row r="200" customFormat="false" ht="15" hidden="false" customHeight="false" outlineLevel="0" collapsed="false">
      <c r="A200" s="5" t="n">
        <v>4</v>
      </c>
      <c r="B200" s="6" t="s">
        <v>277</v>
      </c>
      <c r="C200" s="7" t="s">
        <v>98</v>
      </c>
      <c r="D200" s="8" t="s">
        <v>99</v>
      </c>
      <c r="E200" s="9"/>
      <c r="F200" s="10" t="n">
        <f aca="false">IF($E200="",$K200,MAX($K200,INDEX($K$6:$K$225,MATCH($E200,$B$6:$B$225,0))))</f>
        <v>55</v>
      </c>
      <c r="G200" s="7" t="str">
        <f aca="false">IF($E200="",VLOOKUP($D200,Категории!$A$5:$C$17,3,FALSE()),"п. 21 — по пом. "&amp;$E200)</f>
        <v>п. 28</v>
      </c>
      <c r="H200" s="5" t="n">
        <f aca="false">MAX($F200+15,65)</f>
        <v>70</v>
      </c>
      <c r="I200" s="7" t="str">
        <f aca="false">IF($F200&lt;=65,"упрощённая оценка (п. 6.11.3)","нужен расчёт (прил. В / ПО изготовителя)")</f>
        <v>упрощённая оценка (п. 6.11.3)</v>
      </c>
      <c r="J200" s="7"/>
      <c r="K200" s="11" t="n">
        <f aca="false">VLOOKUP($D200,Категории!$A$5:$C$17,2,FALSE())</f>
        <v>55</v>
      </c>
    </row>
    <row r="201" customFormat="false" ht="15" hidden="false" customHeight="false" outlineLevel="0" collapsed="false">
      <c r="A201" s="5" t="n">
        <v>4</v>
      </c>
      <c r="B201" s="6" t="s">
        <v>278</v>
      </c>
      <c r="C201" s="7" t="s">
        <v>26</v>
      </c>
      <c r="D201" s="8" t="s">
        <v>27</v>
      </c>
      <c r="E201" s="9"/>
      <c r="F201" s="10" t="n">
        <f aca="false">IF($E201="",$K201,MAX($K201,INDEX($K$6:$K$225,MATCH($E201,$B$6:$B$225,0))))</f>
        <v>60</v>
      </c>
      <c r="G201" s="7" t="str">
        <f aca="false">IF($E201="",VLOOKUP($D201,Категории!$A$5:$C$17,3,FALSE()),"п. 21 — по пом. "&amp;$E201)</f>
        <v>п. 21</v>
      </c>
      <c r="H201" s="5" t="n">
        <f aca="false">MAX($F201+15,65)</f>
        <v>75</v>
      </c>
      <c r="I201" s="7" t="str">
        <f aca="false">IF($F201&lt;=65,"упрощённая оценка (п. 6.11.3)","нужен расчёт (прил. В / ПО изготовителя)")</f>
        <v>упрощённая оценка (п. 6.11.3)</v>
      </c>
      <c r="J201" s="7"/>
      <c r="K201" s="11" t="n">
        <f aca="false">VLOOKUP($D201,Категории!$A$5:$C$17,2,FALSE())</f>
        <v>60</v>
      </c>
    </row>
    <row r="202" customFormat="false" ht="15" hidden="false" customHeight="false" outlineLevel="0" collapsed="false">
      <c r="A202" s="5" t="n">
        <v>4</v>
      </c>
      <c r="B202" s="6" t="s">
        <v>279</v>
      </c>
      <c r="C202" s="7" t="s">
        <v>51</v>
      </c>
      <c r="D202" s="8" t="s">
        <v>48</v>
      </c>
      <c r="E202" s="9"/>
      <c r="F202" s="10" t="n">
        <f aca="false">IF($E202="",$K202,MAX($K202,INDEX($K$6:$K$225,MATCH($E202,$B$6:$B$225,0))))</f>
        <v>60</v>
      </c>
      <c r="G202" s="7" t="str">
        <f aca="false">IF($E202="",VLOOKUP($D202,Категории!$A$5:$C$17,3,FALSE()),"п. 21 — по пом. "&amp;$E202)</f>
        <v>п. 6</v>
      </c>
      <c r="H202" s="5" t="n">
        <f aca="false">MAX($F202+15,65)</f>
        <v>75</v>
      </c>
      <c r="I202" s="7" t="str">
        <f aca="false">IF($F202&lt;=65,"упрощённая оценка (п. 6.11.3)","нужен расчёт (прил. В / ПО изготовителя)")</f>
        <v>упрощённая оценка (п. 6.11.3)</v>
      </c>
      <c r="J202" s="7"/>
      <c r="K202" s="11" t="n">
        <f aca="false">VLOOKUP($D202,Категории!$A$5:$C$17,2,FALSE())</f>
        <v>60</v>
      </c>
    </row>
    <row r="203" customFormat="false" ht="15" hidden="false" customHeight="false" outlineLevel="0" collapsed="false">
      <c r="A203" s="5" t="n">
        <v>4</v>
      </c>
      <c r="B203" s="6" t="s">
        <v>280</v>
      </c>
      <c r="C203" s="7" t="s">
        <v>142</v>
      </c>
      <c r="D203" s="8" t="s">
        <v>48</v>
      </c>
      <c r="E203" s="9"/>
      <c r="F203" s="10" t="n">
        <f aca="false">IF($E203="",$K203,MAX($K203,INDEX($K$6:$K$225,MATCH($E203,$B$6:$B$225,0))))</f>
        <v>60</v>
      </c>
      <c r="G203" s="7" t="str">
        <f aca="false">IF($E203="",VLOOKUP($D203,Категории!$A$5:$C$17,3,FALSE()),"п. 21 — по пом. "&amp;$E203)</f>
        <v>п. 6</v>
      </c>
      <c r="H203" s="5" t="n">
        <f aca="false">MAX($F203+15,65)</f>
        <v>75</v>
      </c>
      <c r="I203" s="7" t="str">
        <f aca="false">IF($F203&lt;=65,"упрощённая оценка (п. 6.11.3)","нужен расчёт (прил. В / ПО изготовителя)")</f>
        <v>упрощённая оценка (п. 6.11.3)</v>
      </c>
      <c r="J203" s="7"/>
      <c r="K203" s="11" t="n">
        <f aca="false">VLOOKUP($D203,Категории!$A$5:$C$17,2,FALSE())</f>
        <v>60</v>
      </c>
    </row>
    <row r="204" customFormat="false" ht="15" hidden="false" customHeight="false" outlineLevel="0" collapsed="false">
      <c r="A204" s="5" t="n">
        <v>4</v>
      </c>
      <c r="B204" s="6" t="s">
        <v>281</v>
      </c>
      <c r="C204" s="7" t="s">
        <v>51</v>
      </c>
      <c r="D204" s="8" t="s">
        <v>48</v>
      </c>
      <c r="E204" s="9"/>
      <c r="F204" s="10" t="n">
        <f aca="false">IF($E204="",$K204,MAX($K204,INDEX($K$6:$K$225,MATCH($E204,$B$6:$B$225,0))))</f>
        <v>60</v>
      </c>
      <c r="G204" s="7" t="str">
        <f aca="false">IF($E204="",VLOOKUP($D204,Категории!$A$5:$C$17,3,FALSE()),"п. 21 — по пом. "&amp;$E204)</f>
        <v>п. 6</v>
      </c>
      <c r="H204" s="5" t="n">
        <f aca="false">MAX($F204+15,65)</f>
        <v>75</v>
      </c>
      <c r="I204" s="7" t="str">
        <f aca="false">IF($F204&lt;=65,"упрощённая оценка (п. 6.11.3)","нужен расчёт (прил. В / ПО изготовителя)")</f>
        <v>упрощённая оценка (п. 6.11.3)</v>
      </c>
      <c r="J204" s="7"/>
      <c r="K204" s="11" t="n">
        <f aca="false">VLOOKUP($D204,Категории!$A$5:$C$17,2,FALSE())</f>
        <v>60</v>
      </c>
    </row>
    <row r="205" customFormat="false" ht="15" hidden="false" customHeight="false" outlineLevel="0" collapsed="false">
      <c r="A205" s="5" t="n">
        <v>4</v>
      </c>
      <c r="B205" s="6" t="s">
        <v>282</v>
      </c>
      <c r="C205" s="7" t="s">
        <v>51</v>
      </c>
      <c r="D205" s="8" t="s">
        <v>48</v>
      </c>
      <c r="E205" s="9"/>
      <c r="F205" s="10" t="n">
        <f aca="false">IF($E205="",$K205,MAX($K205,INDEX($K$6:$K$225,MATCH($E205,$B$6:$B$225,0))))</f>
        <v>60</v>
      </c>
      <c r="G205" s="7" t="str">
        <f aca="false">IF($E205="",VLOOKUP($D205,Категории!$A$5:$C$17,3,FALSE()),"п. 21 — по пом. "&amp;$E205)</f>
        <v>п. 6</v>
      </c>
      <c r="H205" s="5" t="n">
        <f aca="false">MAX($F205+15,65)</f>
        <v>75</v>
      </c>
      <c r="I205" s="7" t="str">
        <f aca="false">IF($F205&lt;=65,"упрощённая оценка (п. 6.11.3)","нужен расчёт (прил. В / ПО изготовителя)")</f>
        <v>упрощённая оценка (п. 6.11.3)</v>
      </c>
      <c r="J205" s="7"/>
      <c r="K205" s="11" t="n">
        <f aca="false">VLOOKUP($D205,Категории!$A$5:$C$17,2,FALSE())</f>
        <v>60</v>
      </c>
    </row>
    <row r="206" customFormat="false" ht="15" hidden="false" customHeight="false" outlineLevel="0" collapsed="false">
      <c r="A206" s="5" t="n">
        <v>4</v>
      </c>
      <c r="B206" s="6" t="s">
        <v>283</v>
      </c>
      <c r="C206" s="7" t="s">
        <v>51</v>
      </c>
      <c r="D206" s="8" t="s">
        <v>48</v>
      </c>
      <c r="E206" s="9"/>
      <c r="F206" s="10" t="n">
        <f aca="false">IF($E206="",$K206,MAX($K206,INDEX($K$6:$K$225,MATCH($E206,$B$6:$B$225,0))))</f>
        <v>60</v>
      </c>
      <c r="G206" s="7" t="str">
        <f aca="false">IF($E206="",VLOOKUP($D206,Категории!$A$5:$C$17,3,FALSE()),"п. 21 — по пом. "&amp;$E206)</f>
        <v>п. 6</v>
      </c>
      <c r="H206" s="5" t="n">
        <f aca="false">MAX($F206+15,65)</f>
        <v>75</v>
      </c>
      <c r="I206" s="7" t="str">
        <f aca="false">IF($F206&lt;=65,"упрощённая оценка (п. 6.11.3)","нужен расчёт (прил. В / ПО изготовителя)")</f>
        <v>упрощённая оценка (п. 6.11.3)</v>
      </c>
      <c r="J206" s="7"/>
      <c r="K206" s="11" t="n">
        <f aca="false">VLOOKUP($D206,Категории!$A$5:$C$17,2,FALSE())</f>
        <v>60</v>
      </c>
    </row>
    <row r="207" customFormat="false" ht="15" hidden="false" customHeight="false" outlineLevel="0" collapsed="false">
      <c r="A207" s="5" t="n">
        <v>4</v>
      </c>
      <c r="B207" s="6" t="s">
        <v>284</v>
      </c>
      <c r="C207" s="7" t="s">
        <v>142</v>
      </c>
      <c r="D207" s="8" t="s">
        <v>48</v>
      </c>
      <c r="E207" s="9"/>
      <c r="F207" s="10" t="n">
        <f aca="false">IF($E207="",$K207,MAX($K207,INDEX($K$6:$K$225,MATCH($E207,$B$6:$B$225,0))))</f>
        <v>60</v>
      </c>
      <c r="G207" s="7" t="str">
        <f aca="false">IF($E207="",VLOOKUP($D207,Категории!$A$5:$C$17,3,FALSE()),"п. 21 — по пом. "&amp;$E207)</f>
        <v>п. 6</v>
      </c>
      <c r="H207" s="5" t="n">
        <f aca="false">MAX($F207+15,65)</f>
        <v>75</v>
      </c>
      <c r="I207" s="7" t="str">
        <f aca="false">IF($F207&lt;=65,"упрощённая оценка (п. 6.11.3)","нужен расчёт (прил. В / ПО изготовителя)")</f>
        <v>упрощённая оценка (п. 6.11.3)</v>
      </c>
      <c r="J207" s="7"/>
      <c r="K207" s="11" t="n">
        <f aca="false">VLOOKUP($D207,Категории!$A$5:$C$17,2,FALSE())</f>
        <v>60</v>
      </c>
    </row>
    <row r="208" customFormat="false" ht="15" hidden="false" customHeight="false" outlineLevel="0" collapsed="false">
      <c r="A208" s="5" t="n">
        <v>4</v>
      </c>
      <c r="B208" s="6" t="s">
        <v>285</v>
      </c>
      <c r="C208" s="7" t="s">
        <v>51</v>
      </c>
      <c r="D208" s="8" t="s">
        <v>48</v>
      </c>
      <c r="E208" s="9"/>
      <c r="F208" s="10" t="n">
        <f aca="false">IF($E208="",$K208,MAX($K208,INDEX($K$6:$K$225,MATCH($E208,$B$6:$B$225,0))))</f>
        <v>60</v>
      </c>
      <c r="G208" s="7" t="str">
        <f aca="false">IF($E208="",VLOOKUP($D208,Категории!$A$5:$C$17,3,FALSE()),"п. 21 — по пом. "&amp;$E208)</f>
        <v>п. 6</v>
      </c>
      <c r="H208" s="5" t="n">
        <f aca="false">MAX($F208+15,65)</f>
        <v>75</v>
      </c>
      <c r="I208" s="7" t="str">
        <f aca="false">IF($F208&lt;=65,"упрощённая оценка (п. 6.11.3)","нужен расчёт (прил. В / ПО изготовителя)")</f>
        <v>упрощённая оценка (п. 6.11.3)</v>
      </c>
      <c r="J208" s="7"/>
      <c r="K208" s="11" t="n">
        <f aca="false">VLOOKUP($D208,Категории!$A$5:$C$17,2,FALSE())</f>
        <v>60</v>
      </c>
    </row>
    <row r="209" customFormat="false" ht="15" hidden="false" customHeight="false" outlineLevel="0" collapsed="false">
      <c r="A209" s="5" t="n">
        <v>4</v>
      </c>
      <c r="B209" s="6" t="s">
        <v>286</v>
      </c>
      <c r="C209" s="7" t="s">
        <v>51</v>
      </c>
      <c r="D209" s="8" t="s">
        <v>48</v>
      </c>
      <c r="E209" s="9"/>
      <c r="F209" s="10" t="n">
        <f aca="false">IF($E209="",$K209,MAX($K209,INDEX($K$6:$K$225,MATCH($E209,$B$6:$B$225,0))))</f>
        <v>60</v>
      </c>
      <c r="G209" s="7" t="str">
        <f aca="false">IF($E209="",VLOOKUP($D209,Категории!$A$5:$C$17,3,FALSE()),"п. 21 — по пом. "&amp;$E209)</f>
        <v>п. 6</v>
      </c>
      <c r="H209" s="5" t="n">
        <f aca="false">MAX($F209+15,65)</f>
        <v>75</v>
      </c>
      <c r="I209" s="7" t="str">
        <f aca="false">IF($F209&lt;=65,"упрощённая оценка (п. 6.11.3)","нужен расчёт (прил. В / ПО изготовителя)")</f>
        <v>упрощённая оценка (п. 6.11.3)</v>
      </c>
      <c r="J209" s="7"/>
      <c r="K209" s="11" t="n">
        <f aca="false">VLOOKUP($D209,Категории!$A$5:$C$17,2,FALSE())</f>
        <v>60</v>
      </c>
    </row>
    <row r="210" customFormat="false" ht="15" hidden="false" customHeight="false" outlineLevel="0" collapsed="false">
      <c r="A210" s="5" t="n">
        <v>4</v>
      </c>
      <c r="B210" s="6" t="s">
        <v>287</v>
      </c>
      <c r="C210" s="7" t="s">
        <v>51</v>
      </c>
      <c r="D210" s="8" t="s">
        <v>48</v>
      </c>
      <c r="E210" s="9"/>
      <c r="F210" s="10" t="n">
        <f aca="false">IF($E210="",$K210,MAX($K210,INDEX($K$6:$K$225,MATCH($E210,$B$6:$B$225,0))))</f>
        <v>60</v>
      </c>
      <c r="G210" s="7" t="str">
        <f aca="false">IF($E210="",VLOOKUP($D210,Категории!$A$5:$C$17,3,FALSE()),"п. 21 — по пом. "&amp;$E210)</f>
        <v>п. 6</v>
      </c>
      <c r="H210" s="5" t="n">
        <f aca="false">MAX($F210+15,65)</f>
        <v>75</v>
      </c>
      <c r="I210" s="7" t="str">
        <f aca="false">IF($F210&lt;=65,"упрощённая оценка (п. 6.11.3)","нужен расчёт (прил. В / ПО изготовителя)")</f>
        <v>упрощённая оценка (п. 6.11.3)</v>
      </c>
      <c r="J210" s="7"/>
      <c r="K210" s="11" t="n">
        <f aca="false">VLOOKUP($D210,Категории!$A$5:$C$17,2,FALSE())</f>
        <v>60</v>
      </c>
    </row>
    <row r="211" customFormat="false" ht="15" hidden="false" customHeight="false" outlineLevel="0" collapsed="false">
      <c r="A211" s="5" t="n">
        <v>4</v>
      </c>
      <c r="B211" s="6" t="s">
        <v>288</v>
      </c>
      <c r="C211" s="7" t="s">
        <v>51</v>
      </c>
      <c r="D211" s="8" t="s">
        <v>48</v>
      </c>
      <c r="E211" s="9"/>
      <c r="F211" s="10" t="n">
        <f aca="false">IF($E211="",$K211,MAX($K211,INDEX($K$6:$K$225,MATCH($E211,$B$6:$B$225,0))))</f>
        <v>60</v>
      </c>
      <c r="G211" s="7" t="str">
        <f aca="false">IF($E211="",VLOOKUP($D211,Категории!$A$5:$C$17,3,FALSE()),"п. 21 — по пом. "&amp;$E211)</f>
        <v>п. 6</v>
      </c>
      <c r="H211" s="5" t="n">
        <f aca="false">MAX($F211+15,65)</f>
        <v>75</v>
      </c>
      <c r="I211" s="7" t="str">
        <f aca="false">IF($F211&lt;=65,"упрощённая оценка (п. 6.11.3)","нужен расчёт (прил. В / ПО изготовителя)")</f>
        <v>упрощённая оценка (п. 6.11.3)</v>
      </c>
      <c r="J211" s="7"/>
      <c r="K211" s="11" t="n">
        <f aca="false">VLOOKUP($D211,Категории!$A$5:$C$17,2,FALSE())</f>
        <v>60</v>
      </c>
    </row>
    <row r="212" customFormat="false" ht="15" hidden="false" customHeight="false" outlineLevel="0" collapsed="false">
      <c r="A212" s="5" t="n">
        <v>4</v>
      </c>
      <c r="B212" s="6" t="s">
        <v>289</v>
      </c>
      <c r="C212" s="7" t="s">
        <v>51</v>
      </c>
      <c r="D212" s="8" t="s">
        <v>48</v>
      </c>
      <c r="E212" s="9"/>
      <c r="F212" s="10" t="n">
        <f aca="false">IF($E212="",$K212,MAX($K212,INDEX($K$6:$K$225,MATCH($E212,$B$6:$B$225,0))))</f>
        <v>60</v>
      </c>
      <c r="G212" s="7" t="str">
        <f aca="false">IF($E212="",VLOOKUP($D212,Категории!$A$5:$C$17,3,FALSE()),"п. 21 — по пом. "&amp;$E212)</f>
        <v>п. 6</v>
      </c>
      <c r="H212" s="5" t="n">
        <f aca="false">MAX($F212+15,65)</f>
        <v>75</v>
      </c>
      <c r="I212" s="7" t="str">
        <f aca="false">IF($F212&lt;=65,"упрощённая оценка (п. 6.11.3)","нужен расчёт (прил. В / ПО изготовителя)")</f>
        <v>упрощённая оценка (п. 6.11.3)</v>
      </c>
      <c r="J212" s="7"/>
      <c r="K212" s="11" t="n">
        <f aca="false">VLOOKUP($D212,Категории!$A$5:$C$17,2,FALSE())</f>
        <v>60</v>
      </c>
    </row>
    <row r="213" customFormat="false" ht="15" hidden="false" customHeight="false" outlineLevel="0" collapsed="false">
      <c r="A213" s="5" t="n">
        <v>4</v>
      </c>
      <c r="B213" s="6" t="s">
        <v>290</v>
      </c>
      <c r="C213" s="7" t="s">
        <v>51</v>
      </c>
      <c r="D213" s="8" t="s">
        <v>48</v>
      </c>
      <c r="E213" s="9"/>
      <c r="F213" s="10" t="n">
        <f aca="false">IF($E213="",$K213,MAX($K213,INDEX($K$6:$K$225,MATCH($E213,$B$6:$B$225,0))))</f>
        <v>60</v>
      </c>
      <c r="G213" s="7" t="str">
        <f aca="false">IF($E213="",VLOOKUP($D213,Категории!$A$5:$C$17,3,FALSE()),"п. 21 — по пом. "&amp;$E213)</f>
        <v>п. 6</v>
      </c>
      <c r="H213" s="5" t="n">
        <f aca="false">MAX($F213+15,65)</f>
        <v>75</v>
      </c>
      <c r="I213" s="7" t="str">
        <f aca="false">IF($F213&lt;=65,"упрощённая оценка (п. 6.11.3)","нужен расчёт (прил. В / ПО изготовителя)")</f>
        <v>упрощённая оценка (п. 6.11.3)</v>
      </c>
      <c r="J213" s="7"/>
      <c r="K213" s="11" t="n">
        <f aca="false">VLOOKUP($D213,Категории!$A$5:$C$17,2,FALSE())</f>
        <v>60</v>
      </c>
    </row>
    <row r="214" customFormat="false" ht="15" hidden="false" customHeight="false" outlineLevel="0" collapsed="false">
      <c r="A214" s="5" t="n">
        <v>4</v>
      </c>
      <c r="B214" s="6" t="s">
        <v>291</v>
      </c>
      <c r="C214" s="7" t="s">
        <v>51</v>
      </c>
      <c r="D214" s="8" t="s">
        <v>48</v>
      </c>
      <c r="E214" s="9"/>
      <c r="F214" s="10" t="n">
        <f aca="false">IF($E214="",$K214,MAX($K214,INDEX($K$6:$K$225,MATCH($E214,$B$6:$B$225,0))))</f>
        <v>60</v>
      </c>
      <c r="G214" s="7" t="str">
        <f aca="false">IF($E214="",VLOOKUP($D214,Категории!$A$5:$C$17,3,FALSE()),"п. 21 — по пом. "&amp;$E214)</f>
        <v>п. 6</v>
      </c>
      <c r="H214" s="5" t="n">
        <f aca="false">MAX($F214+15,65)</f>
        <v>75</v>
      </c>
      <c r="I214" s="7" t="str">
        <f aca="false">IF($F214&lt;=65,"упрощённая оценка (п. 6.11.3)","нужен расчёт (прил. В / ПО изготовителя)")</f>
        <v>упрощённая оценка (п. 6.11.3)</v>
      </c>
      <c r="J214" s="7"/>
      <c r="K214" s="11" t="n">
        <f aca="false">VLOOKUP($D214,Категории!$A$5:$C$17,2,FALSE())</f>
        <v>60</v>
      </c>
    </row>
    <row r="215" customFormat="false" ht="15" hidden="false" customHeight="false" outlineLevel="0" collapsed="false">
      <c r="A215" s="5" t="n">
        <v>4</v>
      </c>
      <c r="B215" s="6" t="s">
        <v>292</v>
      </c>
      <c r="C215" s="7" t="s">
        <v>26</v>
      </c>
      <c r="D215" s="8" t="s">
        <v>27</v>
      </c>
      <c r="E215" s="9"/>
      <c r="F215" s="10" t="n">
        <f aca="false">IF($E215="",$K215,MAX($K215,INDEX($K$6:$K$225,MATCH($E215,$B$6:$B$225,0))))</f>
        <v>60</v>
      </c>
      <c r="G215" s="7" t="str">
        <f aca="false">IF($E215="",VLOOKUP($D215,Категории!$A$5:$C$17,3,FALSE()),"п. 21 — по пом. "&amp;$E215)</f>
        <v>п. 21</v>
      </c>
      <c r="H215" s="5" t="n">
        <f aca="false">MAX($F215+15,65)</f>
        <v>75</v>
      </c>
      <c r="I215" s="7" t="str">
        <f aca="false">IF($F215&lt;=65,"упрощённая оценка (п. 6.11.3)","нужен расчёт (прил. В / ПО изготовителя)")</f>
        <v>упрощённая оценка (п. 6.11.3)</v>
      </c>
      <c r="J215" s="7"/>
      <c r="K215" s="11" t="n">
        <f aca="false">VLOOKUP($D215,Категории!$A$5:$C$17,2,FALSE())</f>
        <v>60</v>
      </c>
    </row>
    <row r="216" customFormat="false" ht="15" hidden="false" customHeight="false" outlineLevel="0" collapsed="false">
      <c r="A216" s="5" t="n">
        <v>4</v>
      </c>
      <c r="B216" s="6" t="s">
        <v>293</v>
      </c>
      <c r="C216" s="7" t="s">
        <v>51</v>
      </c>
      <c r="D216" s="8" t="s">
        <v>48</v>
      </c>
      <c r="E216" s="9"/>
      <c r="F216" s="10" t="n">
        <f aca="false">IF($E216="",$K216,MAX($K216,INDEX($K$6:$K$225,MATCH($E216,$B$6:$B$225,0))))</f>
        <v>60</v>
      </c>
      <c r="G216" s="7" t="str">
        <f aca="false">IF($E216="",VLOOKUP($D216,Категории!$A$5:$C$17,3,FALSE()),"п. 21 — по пом. "&amp;$E216)</f>
        <v>п. 6</v>
      </c>
      <c r="H216" s="5" t="n">
        <f aca="false">MAX($F216+15,65)</f>
        <v>75</v>
      </c>
      <c r="I216" s="7" t="str">
        <f aca="false">IF($F216&lt;=65,"упрощённая оценка (п. 6.11.3)","нужен расчёт (прил. В / ПО изготовителя)")</f>
        <v>упрощённая оценка (п. 6.11.3)</v>
      </c>
      <c r="J216" s="7"/>
      <c r="K216" s="11" t="n">
        <f aca="false">VLOOKUP($D216,Категории!$A$5:$C$17,2,FALSE())</f>
        <v>60</v>
      </c>
    </row>
    <row r="217" customFormat="false" ht="15" hidden="false" customHeight="false" outlineLevel="0" collapsed="false">
      <c r="A217" s="5" t="n">
        <v>4</v>
      </c>
      <c r="B217" s="6" t="s">
        <v>294</v>
      </c>
      <c r="C217" s="7" t="s">
        <v>51</v>
      </c>
      <c r="D217" s="8" t="s">
        <v>48</v>
      </c>
      <c r="E217" s="9"/>
      <c r="F217" s="10" t="n">
        <f aca="false">IF($E217="",$K217,MAX($K217,INDEX($K$6:$K$225,MATCH($E217,$B$6:$B$225,0))))</f>
        <v>60</v>
      </c>
      <c r="G217" s="7" t="str">
        <f aca="false">IF($E217="",VLOOKUP($D217,Категории!$A$5:$C$17,3,FALSE()),"п. 21 — по пом. "&amp;$E217)</f>
        <v>п. 6</v>
      </c>
      <c r="H217" s="5" t="n">
        <f aca="false">MAX($F217+15,65)</f>
        <v>75</v>
      </c>
      <c r="I217" s="7" t="str">
        <f aca="false">IF($F217&lt;=65,"упрощённая оценка (п. 6.11.3)","нужен расчёт (прил. В / ПО изготовителя)")</f>
        <v>упрощённая оценка (п. 6.11.3)</v>
      </c>
      <c r="J217" s="7"/>
      <c r="K217" s="11" t="n">
        <f aca="false">VLOOKUP($D217,Категории!$A$5:$C$17,2,FALSE())</f>
        <v>60</v>
      </c>
    </row>
    <row r="218" customFormat="false" ht="15" hidden="false" customHeight="false" outlineLevel="0" collapsed="false">
      <c r="A218" s="5" t="n">
        <v>4</v>
      </c>
      <c r="B218" s="6" t="s">
        <v>295</v>
      </c>
      <c r="C218" s="7" t="s">
        <v>51</v>
      </c>
      <c r="D218" s="8" t="s">
        <v>48</v>
      </c>
      <c r="E218" s="9"/>
      <c r="F218" s="10" t="n">
        <f aca="false">IF($E218="",$K218,MAX($K218,INDEX($K$6:$K$225,MATCH($E218,$B$6:$B$225,0))))</f>
        <v>60</v>
      </c>
      <c r="G218" s="7" t="str">
        <f aca="false">IF($E218="",VLOOKUP($D218,Категории!$A$5:$C$17,3,FALSE()),"п. 21 — по пом. "&amp;$E218)</f>
        <v>п. 6</v>
      </c>
      <c r="H218" s="5" t="n">
        <f aca="false">MAX($F218+15,65)</f>
        <v>75</v>
      </c>
      <c r="I218" s="7" t="str">
        <f aca="false">IF($F218&lt;=65,"упрощённая оценка (п. 6.11.3)","нужен расчёт (прил. В / ПО изготовителя)")</f>
        <v>упрощённая оценка (п. 6.11.3)</v>
      </c>
      <c r="J218" s="7"/>
      <c r="K218" s="11" t="n">
        <f aca="false">VLOOKUP($D218,Категории!$A$5:$C$17,2,FALSE())</f>
        <v>60</v>
      </c>
    </row>
    <row r="219" customFormat="false" ht="15" hidden="false" customHeight="false" outlineLevel="0" collapsed="false">
      <c r="A219" s="5" t="n">
        <v>4</v>
      </c>
      <c r="B219" s="6" t="s">
        <v>296</v>
      </c>
      <c r="C219" s="7" t="s">
        <v>26</v>
      </c>
      <c r="D219" s="8" t="s">
        <v>27</v>
      </c>
      <c r="E219" s="9"/>
      <c r="F219" s="10" t="n">
        <f aca="false">IF($E219="",$K219,MAX($K219,INDEX($K$6:$K$225,MATCH($E219,$B$6:$B$225,0))))</f>
        <v>60</v>
      </c>
      <c r="G219" s="7" t="str">
        <f aca="false">IF($E219="",VLOOKUP($D219,Категории!$A$5:$C$17,3,FALSE()),"п. 21 — по пом. "&amp;$E219)</f>
        <v>п. 21</v>
      </c>
      <c r="H219" s="5" t="n">
        <f aca="false">MAX($F219+15,65)</f>
        <v>75</v>
      </c>
      <c r="I219" s="7" t="str">
        <f aca="false">IF($F219&lt;=65,"упрощённая оценка (п. 6.11.3)","нужен расчёт (прил. В / ПО изготовителя)")</f>
        <v>упрощённая оценка (п. 6.11.3)</v>
      </c>
      <c r="J219" s="7"/>
      <c r="K219" s="11" t="n">
        <f aca="false">VLOOKUP($D219,Категории!$A$5:$C$17,2,FALSE())</f>
        <v>60</v>
      </c>
    </row>
    <row r="220" customFormat="false" ht="15" hidden="false" customHeight="false" outlineLevel="0" collapsed="false">
      <c r="A220" s="5" t="n">
        <v>4</v>
      </c>
      <c r="B220" s="6" t="s">
        <v>297</v>
      </c>
      <c r="C220" s="7" t="s">
        <v>98</v>
      </c>
      <c r="D220" s="8" t="s">
        <v>99</v>
      </c>
      <c r="E220" s="9"/>
      <c r="F220" s="10" t="n">
        <f aca="false">IF($E220="",$K220,MAX($K220,INDEX($K$6:$K$225,MATCH($E220,$B$6:$B$225,0))))</f>
        <v>55</v>
      </c>
      <c r="G220" s="7" t="str">
        <f aca="false">IF($E220="",VLOOKUP($D220,Категории!$A$5:$C$17,3,FALSE()),"п. 21 — по пом. "&amp;$E220)</f>
        <v>п. 28</v>
      </c>
      <c r="H220" s="5" t="n">
        <f aca="false">MAX($F220+15,65)</f>
        <v>70</v>
      </c>
      <c r="I220" s="7" t="str">
        <f aca="false">IF($F220&lt;=65,"упрощённая оценка (п. 6.11.3)","нужен расчёт (прил. В / ПО изготовителя)")</f>
        <v>упрощённая оценка (п. 6.11.3)</v>
      </c>
      <c r="J220" s="7"/>
      <c r="K220" s="11" t="n">
        <f aca="false">VLOOKUP($D220,Категории!$A$5:$C$17,2,FALSE())</f>
        <v>55</v>
      </c>
    </row>
    <row r="221" customFormat="false" ht="15" hidden="false" customHeight="false" outlineLevel="0" collapsed="false">
      <c r="A221" s="5" t="n">
        <v>4</v>
      </c>
      <c r="B221" s="6" t="s">
        <v>298</v>
      </c>
      <c r="C221" s="7" t="s">
        <v>26</v>
      </c>
      <c r="D221" s="8" t="s">
        <v>27</v>
      </c>
      <c r="E221" s="9"/>
      <c r="F221" s="10" t="n">
        <f aca="false">IF($E221="",$K221,MAX($K221,INDEX($K$6:$K$225,MATCH($E221,$B$6:$B$225,0))))</f>
        <v>60</v>
      </c>
      <c r="G221" s="7" t="str">
        <f aca="false">IF($E221="",VLOOKUP($D221,Категории!$A$5:$C$17,3,FALSE()),"п. 21 — по пом. "&amp;$E221)</f>
        <v>п. 21</v>
      </c>
      <c r="H221" s="5" t="n">
        <f aca="false">MAX($F221+15,65)</f>
        <v>75</v>
      </c>
      <c r="I221" s="7" t="str">
        <f aca="false">IF($F221&lt;=65,"упрощённая оценка (п. 6.11.3)","нужен расчёт (прил. В / ПО изготовителя)")</f>
        <v>упрощённая оценка (п. 6.11.3)</v>
      </c>
      <c r="J221" s="7"/>
      <c r="K221" s="11" t="n">
        <f aca="false">VLOOKUP($D221,Категории!$A$5:$C$17,2,FALSE())</f>
        <v>60</v>
      </c>
    </row>
    <row r="222" customFormat="false" ht="15" hidden="false" customHeight="false" outlineLevel="0" collapsed="false">
      <c r="A222" s="5" t="n">
        <v>4</v>
      </c>
      <c r="B222" s="6" t="s">
        <v>299</v>
      </c>
      <c r="C222" s="7" t="s">
        <v>26</v>
      </c>
      <c r="D222" s="8" t="s">
        <v>27</v>
      </c>
      <c r="E222" s="9"/>
      <c r="F222" s="10" t="n">
        <f aca="false">IF($E222="",$K222,MAX($K222,INDEX($K$6:$K$225,MATCH($E222,$B$6:$B$225,0))))</f>
        <v>60</v>
      </c>
      <c r="G222" s="7" t="str">
        <f aca="false">IF($E222="",VLOOKUP($D222,Категории!$A$5:$C$17,3,FALSE()),"п. 21 — по пом. "&amp;$E222)</f>
        <v>п. 21</v>
      </c>
      <c r="H222" s="5" t="n">
        <f aca="false">MAX($F222+15,65)</f>
        <v>75</v>
      </c>
      <c r="I222" s="7" t="str">
        <f aca="false">IF($F222&lt;=65,"упрощённая оценка (п. 6.11.3)","нужен расчёт (прил. В / ПО изготовителя)")</f>
        <v>упрощённая оценка (п. 6.11.3)</v>
      </c>
      <c r="J222" s="7"/>
      <c r="K222" s="11" t="n">
        <f aca="false">VLOOKUP($D222,Категории!$A$5:$C$17,2,FALSE())</f>
        <v>60</v>
      </c>
    </row>
    <row r="223" customFormat="false" ht="15" hidden="false" customHeight="false" outlineLevel="0" collapsed="false">
      <c r="A223" s="5" t="n">
        <v>4</v>
      </c>
      <c r="B223" s="6" t="s">
        <v>300</v>
      </c>
      <c r="C223" s="7" t="s">
        <v>26</v>
      </c>
      <c r="D223" s="8" t="s">
        <v>27</v>
      </c>
      <c r="E223" s="9"/>
      <c r="F223" s="10" t="n">
        <f aca="false">IF($E223="",$K223,MAX($K223,INDEX($K$6:$K$225,MATCH($E223,$B$6:$B$225,0))))</f>
        <v>60</v>
      </c>
      <c r="G223" s="7" t="str">
        <f aca="false">IF($E223="",VLOOKUP($D223,Категории!$A$5:$C$17,3,FALSE()),"п. 21 — по пом. "&amp;$E223)</f>
        <v>п. 21</v>
      </c>
      <c r="H223" s="5" t="n">
        <f aca="false">MAX($F223+15,65)</f>
        <v>75</v>
      </c>
      <c r="I223" s="7" t="str">
        <f aca="false">IF($F223&lt;=65,"упрощённая оценка (п. 6.11.3)","нужен расчёт (прил. В / ПО изготовителя)")</f>
        <v>упрощённая оценка (п. 6.11.3)</v>
      </c>
      <c r="J223" s="7"/>
      <c r="K223" s="11" t="n">
        <f aca="false">VLOOKUP($D223,Категории!$A$5:$C$17,2,FALSE())</f>
        <v>60</v>
      </c>
    </row>
    <row r="224" customFormat="false" ht="15" hidden="false" customHeight="false" outlineLevel="0" collapsed="false">
      <c r="A224" s="5" t="n">
        <v>4</v>
      </c>
      <c r="B224" s="6" t="s">
        <v>301</v>
      </c>
      <c r="C224" s="7" t="s">
        <v>47</v>
      </c>
      <c r="D224" s="8" t="s">
        <v>48</v>
      </c>
      <c r="E224" s="9"/>
      <c r="F224" s="10" t="n">
        <f aca="false">IF($E224="",$K224,MAX($K224,INDEX($K$6:$K$225,MATCH($E224,$B$6:$B$225,0))))</f>
        <v>60</v>
      </c>
      <c r="G224" s="7" t="str">
        <f aca="false">IF($E224="",VLOOKUP($D224,Категории!$A$5:$C$17,3,FALSE()),"п. 21 — по пом. "&amp;$E224)</f>
        <v>п. 6</v>
      </c>
      <c r="H224" s="5" t="n">
        <f aca="false">MAX($F224+15,65)</f>
        <v>75</v>
      </c>
      <c r="I224" s="7" t="str">
        <f aca="false">IF($F224&lt;=65,"упрощённая оценка (п. 6.11.3)","нужен расчёт (прил. В / ПО изготовителя)")</f>
        <v>упрощённая оценка (п. 6.11.3)</v>
      </c>
      <c r="J224" s="7"/>
      <c r="K224" s="11" t="n">
        <f aca="false">VLOOKUP($D224,Категории!$A$5:$C$17,2,FALSE())</f>
        <v>60</v>
      </c>
    </row>
    <row r="225" customFormat="false" ht="15" hidden="false" customHeight="false" outlineLevel="0" collapsed="false">
      <c r="A225" s="5" t="n">
        <v>4</v>
      </c>
      <c r="B225" s="6" t="s">
        <v>302</v>
      </c>
      <c r="C225" s="7" t="s">
        <v>26</v>
      </c>
      <c r="D225" s="8" t="s">
        <v>27</v>
      </c>
      <c r="E225" s="9"/>
      <c r="F225" s="10" t="n">
        <f aca="false">IF($E225="",$K225,MAX($K225,INDEX($K$6:$K$225,MATCH($E225,$B$6:$B$225,0))))</f>
        <v>60</v>
      </c>
      <c r="G225" s="7" t="str">
        <f aca="false">IF($E225="",VLOOKUP($D225,Категории!$A$5:$C$17,3,FALSE()),"п. 21 — по пом. "&amp;$E225)</f>
        <v>п. 21</v>
      </c>
      <c r="H225" s="5" t="n">
        <f aca="false">MAX($F225+15,65)</f>
        <v>75</v>
      </c>
      <c r="I225" s="7" t="str">
        <f aca="false">IF($F225&lt;=65,"упрощённая оценка (п. 6.11.3)","нужен расчёт (прил. В / ПО изготовителя)")</f>
        <v>упрощённая оценка (п. 6.11.3)</v>
      </c>
      <c r="J225" s="7"/>
      <c r="K225" s="11" t="n">
        <f aca="false">VLOOKUP($D225,Категории!$A$5:$C$17,2,FALSE())</f>
        <v>60</v>
      </c>
    </row>
  </sheetData>
  <autoFilter ref="A5:K2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303</v>
      </c>
    </row>
    <row r="2" customFormat="false" ht="15" hidden="false" customHeight="false" outlineLevel="0" collapsed="false">
      <c r="A2" s="3" t="s">
        <v>304</v>
      </c>
    </row>
    <row r="4" customFormat="false" ht="15" hidden="false" customHeight="false" outlineLevel="0" collapsed="false">
      <c r="A4" s="4" t="s">
        <v>305</v>
      </c>
      <c r="B4" s="4" t="s">
        <v>306</v>
      </c>
      <c r="C4" s="4" t="s">
        <v>307</v>
      </c>
      <c r="D4" s="4" t="s">
        <v>308</v>
      </c>
    </row>
    <row r="5" customFormat="false" ht="15" hidden="false" customHeight="false" outlineLevel="0" collapsed="false">
      <c r="A5" s="7" t="s">
        <v>48</v>
      </c>
      <c r="B5" s="12" t="n">
        <v>60</v>
      </c>
      <c r="C5" s="7" t="s">
        <v>309</v>
      </c>
      <c r="D5" s="7" t="s">
        <v>310</v>
      </c>
    </row>
    <row r="6" customFormat="false" ht="23.85" hidden="false" customHeight="false" outlineLevel="0" collapsed="false">
      <c r="A6" s="7" t="s">
        <v>37</v>
      </c>
      <c r="B6" s="12" t="n">
        <v>60</v>
      </c>
      <c r="C6" s="7" t="s">
        <v>311</v>
      </c>
      <c r="D6" s="7" t="s">
        <v>312</v>
      </c>
    </row>
    <row r="7" customFormat="false" ht="15" hidden="false" customHeight="false" outlineLevel="0" collapsed="false">
      <c r="A7" s="7" t="s">
        <v>184</v>
      </c>
      <c r="B7" s="12" t="n">
        <v>50</v>
      </c>
      <c r="C7" s="7" t="s">
        <v>313</v>
      </c>
      <c r="D7" s="7" t="s">
        <v>314</v>
      </c>
    </row>
    <row r="8" customFormat="false" ht="15" hidden="false" customHeight="false" outlineLevel="0" collapsed="false">
      <c r="A8" s="7" t="s">
        <v>99</v>
      </c>
      <c r="B8" s="12" t="n">
        <v>55</v>
      </c>
      <c r="C8" s="7" t="s">
        <v>315</v>
      </c>
      <c r="D8" s="7" t="s">
        <v>316</v>
      </c>
    </row>
    <row r="9" customFormat="false" ht="23.85" hidden="false" customHeight="false" outlineLevel="0" collapsed="false">
      <c r="A9" s="7" t="s">
        <v>16</v>
      </c>
      <c r="B9" s="12" t="n">
        <v>65</v>
      </c>
      <c r="C9" s="7" t="s">
        <v>317</v>
      </c>
      <c r="D9" s="7" t="s">
        <v>318</v>
      </c>
    </row>
    <row r="10" customFormat="false" ht="15" hidden="false" customHeight="false" outlineLevel="0" collapsed="false">
      <c r="A10" s="7" t="s">
        <v>127</v>
      </c>
      <c r="B10" s="12" t="n">
        <v>65</v>
      </c>
      <c r="C10" s="7" t="s">
        <v>319</v>
      </c>
      <c r="D10" s="7" t="s">
        <v>320</v>
      </c>
    </row>
    <row r="11" customFormat="false" ht="15" hidden="false" customHeight="false" outlineLevel="0" collapsed="false">
      <c r="A11" s="7" t="s">
        <v>121</v>
      </c>
      <c r="B11" s="12" t="n">
        <v>70</v>
      </c>
      <c r="C11" s="7" t="s">
        <v>321</v>
      </c>
      <c r="D11" s="7" t="s">
        <v>322</v>
      </c>
    </row>
    <row r="12" customFormat="false" ht="15" hidden="false" customHeight="false" outlineLevel="0" collapsed="false">
      <c r="A12" s="7" t="s">
        <v>64</v>
      </c>
      <c r="B12" s="12" t="n">
        <v>70</v>
      </c>
      <c r="C12" s="7" t="s">
        <v>323</v>
      </c>
      <c r="D12" s="7" t="s">
        <v>324</v>
      </c>
    </row>
    <row r="13" customFormat="false" ht="15" hidden="false" customHeight="false" outlineLevel="0" collapsed="false">
      <c r="A13" s="7" t="s">
        <v>68</v>
      </c>
      <c r="B13" s="12" t="n">
        <v>70</v>
      </c>
      <c r="C13" s="7" t="s">
        <v>325</v>
      </c>
      <c r="D13" s="7" t="s">
        <v>326</v>
      </c>
    </row>
    <row r="14" customFormat="false" ht="23.85" hidden="false" customHeight="false" outlineLevel="0" collapsed="false">
      <c r="A14" s="7" t="s">
        <v>23</v>
      </c>
      <c r="B14" s="12" t="n">
        <v>80</v>
      </c>
      <c r="C14" s="7" t="s">
        <v>327</v>
      </c>
      <c r="D14" s="7" t="s">
        <v>328</v>
      </c>
    </row>
    <row r="15" customFormat="false" ht="15" hidden="false" customHeight="false" outlineLevel="0" collapsed="false">
      <c r="A15" s="7" t="s">
        <v>19</v>
      </c>
      <c r="B15" s="12" t="n">
        <v>80</v>
      </c>
      <c r="C15" s="7" t="s">
        <v>329</v>
      </c>
      <c r="D15" s="7" t="s">
        <v>330</v>
      </c>
    </row>
    <row r="16" customFormat="false" ht="15" hidden="false" customHeight="false" outlineLevel="0" collapsed="false">
      <c r="A16" s="7" t="s">
        <v>214</v>
      </c>
      <c r="B16" s="12" t="n">
        <v>80</v>
      </c>
      <c r="C16" s="7" t="s">
        <v>331</v>
      </c>
      <c r="D16" s="7" t="s">
        <v>332</v>
      </c>
    </row>
    <row r="17" customFormat="false" ht="23.85" hidden="false" customHeight="false" outlineLevel="0" collapsed="false">
      <c r="A17" s="7" t="s">
        <v>27</v>
      </c>
      <c r="B17" s="12" t="n">
        <v>60</v>
      </c>
      <c r="C17" s="7" t="s">
        <v>333</v>
      </c>
      <c r="D17" s="7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3" t="s">
        <v>335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5" t="s">
        <v>336</v>
      </c>
    </row>
    <row r="4" customFormat="false" ht="23.85" hidden="false" customHeight="false" outlineLevel="0" collapsed="false">
      <c r="A4" s="14" t="s">
        <v>337</v>
      </c>
    </row>
    <row r="5" customFormat="false" ht="15" hidden="false" customHeight="false" outlineLevel="0" collapsed="false">
      <c r="A5" s="14" t="s">
        <v>338</v>
      </c>
    </row>
    <row r="6" customFormat="false" ht="15" hidden="false" customHeight="false" outlineLevel="0" collapsed="false">
      <c r="A6" s="14" t="s">
        <v>339</v>
      </c>
    </row>
    <row r="7" customFormat="false" ht="15" hidden="false" customHeight="false" outlineLevel="0" collapsed="false">
      <c r="A7" s="14"/>
    </row>
    <row r="8" customFormat="false" ht="15" hidden="false" customHeight="false" outlineLevel="0" collapsed="false">
      <c r="A8" s="15" t="s">
        <v>340</v>
      </c>
    </row>
    <row r="9" customFormat="false" ht="15" hidden="false" customHeight="false" outlineLevel="0" collapsed="false">
      <c r="A9" s="14" t="s">
        <v>341</v>
      </c>
    </row>
    <row r="10" customFormat="false" ht="15" hidden="false" customHeight="false" outlineLevel="0" collapsed="false">
      <c r="A10" s="14" t="s">
        <v>342</v>
      </c>
    </row>
    <row r="11" customFormat="false" ht="23.85" hidden="false" customHeight="false" outlineLevel="0" collapsed="false">
      <c r="A11" s="14" t="s">
        <v>343</v>
      </c>
    </row>
    <row r="12" customFormat="false" ht="23.85" hidden="false" customHeight="false" outlineLevel="0" collapsed="false">
      <c r="A12" s="14" t="s">
        <v>344</v>
      </c>
    </row>
    <row r="13" customFormat="false" ht="15" hidden="false" customHeight="false" outlineLevel="0" collapsed="false">
      <c r="A13" s="14"/>
    </row>
    <row r="14" customFormat="false" ht="15" hidden="false" customHeight="false" outlineLevel="0" collapsed="false">
      <c r="A14" s="15" t="s">
        <v>345</v>
      </c>
    </row>
    <row r="15" customFormat="false" ht="15" hidden="false" customHeight="false" outlineLevel="0" collapsed="false">
      <c r="A15" s="14" t="s">
        <v>346</v>
      </c>
    </row>
    <row r="16" customFormat="false" ht="15" hidden="false" customHeight="false" outlineLevel="0" collapsed="false">
      <c r="A16" s="14" t="s">
        <v>347</v>
      </c>
    </row>
    <row r="17" customFormat="false" ht="15" hidden="false" customHeight="false" outlineLevel="0" collapsed="false">
      <c r="A17" s="14" t="s">
        <v>348</v>
      </c>
    </row>
    <row r="18" customFormat="false" ht="23.85" hidden="false" customHeight="false" outlineLevel="0" collapsed="false">
      <c r="A18" s="14" t="s">
        <v>349</v>
      </c>
    </row>
    <row r="19" customFormat="false" ht="15" hidden="false" customHeight="false" outlineLevel="0" collapsed="false">
      <c r="A19" s="14"/>
    </row>
    <row r="20" customFormat="false" ht="15" hidden="false" customHeight="false" outlineLevel="0" collapsed="false">
      <c r="A20" s="15" t="s">
        <v>350</v>
      </c>
    </row>
    <row r="21" customFormat="false" ht="15" hidden="false" customHeight="false" outlineLevel="0" collapsed="false">
      <c r="A21" s="14" t="s">
        <v>351</v>
      </c>
    </row>
    <row r="22" customFormat="false" ht="15" hidden="false" customHeight="false" outlineLevel="0" collapsed="false">
      <c r="A22" s="14" t="s">
        <v>352</v>
      </c>
    </row>
    <row r="23" customFormat="false" ht="15" hidden="false" customHeight="false" outlineLevel="0" collapsed="false">
      <c r="A23" s="14" t="s">
        <v>353</v>
      </c>
    </row>
    <row r="24" customFormat="false" ht="15" hidden="false" customHeight="false" outlineLevel="0" collapsed="false">
      <c r="A24" s="14" t="s">
        <v>354</v>
      </c>
    </row>
    <row r="25" customFormat="false" ht="15" hidden="false" customHeight="false" outlineLevel="0" collapsed="false">
      <c r="A25" s="14" t="s">
        <v>355</v>
      </c>
    </row>
    <row r="26" customFormat="false" ht="15" hidden="false" customHeight="false" outlineLevel="0" collapsed="false">
      <c r="A26" s="14" t="s">
        <v>356</v>
      </c>
    </row>
    <row r="27" customFormat="false" ht="15" hidden="false" customHeight="false" outlineLevel="0" collapsed="false">
      <c r="A27" s="14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2026-10-12T07:00:06Z</dcterms:created>
  <dc:creator>openpyxl</dc:creator>
  <dc:description/>
  <dc:language>en-US</dc:language>
  <cp:lastModifiedBy/>
  <dcterms:modified xsi:type="dcterms:W3CDTF">2026-10-12T07:00:06Z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