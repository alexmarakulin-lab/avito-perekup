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Общая таблица" sheetId="1" state="visible" r:id="rId3"/>
    <sheet name="Замена на звуковой" sheetId="2" state="visible" r:id="rId4"/>
    <sheet name="Категории" sheetId="3" state="visible" r:id="rId5"/>
    <sheet name="Пояснения" sheetId="4" state="visible" r:id="rId6"/>
  </sheets>
  <definedNames>
    <definedName function="false" hidden="true" localSheetId="0" name="_xlnm._FilterDatabase" vbProcedure="false">'Общая таблица'!$A$5:$N$225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5" authorId="0">
      <text>
        <r>
          <rPr>
            <sz val="10"/>
            <rFont val="Arial"/>
            <family val="2"/>
          </rPr>
          <t xml:space="preserve">Для коридоров (п. 21 табл. В.1): максимум из уровня по умолчанию и уровня определяющего смежного помещения (столбец E).</t>
        </r>
      </text>
    </comment>
    <comment ref="K5" authorId="0">
      <text>
        <r>
          <rPr>
            <sz val="10"/>
            <rFont val="Arial"/>
            <family val="2"/>
          </rPr>
          <t xml:space="preserve">Выпадающий список: Речевой / Звуковой. От выбора зависит столбец «Разборчивость речи».</t>
        </r>
      </text>
    </comment>
  </commentList>
</comments>
</file>

<file path=xl/sharedStrings.xml><?xml version="1.0" encoding="utf-8"?>
<sst xmlns="http://schemas.openxmlformats.org/spreadsheetml/2006/main" count="1590" uniqueCount="396">
  <si>
    <t xml:space="preserve">Общая таблица: уровни постоянного шума и способ оповещения (СП 3.13130.2026)</t>
  </si>
  <si>
    <t xml:space="preserve">Объект: МБОУ ЦО № 69, Уфа, ул. Даута Юлтыя, 6. Шифр 1417/2026-АПС, СОУЭ. Ф4.1, площадь более 3000 м² — речевой способ (табл. Б.1, п. 13).</t>
  </si>
  <si>
    <t xml:space="preserve">Синие ячейки (D, E, K) — исходные данные. Остальное — формулы. Уровни по категориям меняются на листе «Категории». Зелёный — замена на звуковой прямо по перечню, оранжевый — с условием или по аналогии.</t>
  </si>
  <si>
    <t xml:space="preserve">Этаж</t>
  </si>
  <si>
    <t xml:space="preserve">№ пом.</t>
  </si>
  <si>
    <t xml:space="preserve">Назначение (по экспликации)</t>
  </si>
  <si>
    <t xml:space="preserve">Категория (табл. В.1)</t>
  </si>
  <si>
    <t xml:space="preserve">Определяющее смежное пом. (для коридоров)</t>
  </si>
  <si>
    <t xml:space="preserve">LAeq постоянного шума, дБА</t>
  </si>
  <si>
    <t xml:space="preserve">Основание (табл. В.1)</t>
  </si>
  <si>
    <t xml:space="preserve">Мин. УЗД сигнала оповещения, дБА (п. 6.8.2)</t>
  </si>
  <si>
    <t xml:space="preserve">Замена речевого на звуковой (прим. 3 к табл. Б.1)</t>
  </si>
  <si>
    <t xml:space="preserve">Условие замены</t>
  </si>
  <si>
    <t xml:space="preserve">Принятый способ оповещения</t>
  </si>
  <si>
    <t xml:space="preserve">Разборчивость речи (п. 6.11)</t>
  </si>
  <si>
    <t xml:space="preserve">Примечание</t>
  </si>
  <si>
    <t xml:space="preserve">Уровень по категории, дБА</t>
  </si>
  <si>
    <t xml:space="preserve">1</t>
  </si>
  <si>
    <t xml:space="preserve">Тир</t>
  </si>
  <si>
    <t xml:space="preserve">Спортзал, тир, раздевалки</t>
  </si>
  <si>
    <t xml:space="preserve">Нет</t>
  </si>
  <si>
    <t xml:space="preserve">—</t>
  </si>
  <si>
    <t xml:space="preserve">Речевой</t>
  </si>
  <si>
    <t xml:space="preserve">Если стрельба ведётся в средствах защиты слуха — дополнительно световой способ (п. 6.2.9)</t>
  </si>
  <si>
    <t xml:space="preserve">2</t>
  </si>
  <si>
    <t xml:space="preserve">Бойлерная</t>
  </si>
  <si>
    <t xml:space="preserve">Нет — не в перечне, шум не выше 85 дБА</t>
  </si>
  <si>
    <t xml:space="preserve">Насосы отопления</t>
  </si>
  <si>
    <t xml:space="preserve">3</t>
  </si>
  <si>
    <t xml:space="preserve">Слесарная</t>
  </si>
  <si>
    <t xml:space="preserve">Учебные мастерские со станками</t>
  </si>
  <si>
    <t xml:space="preserve">Формально да (производственные помещения), но идут уроки — рекомендуется речевой</t>
  </si>
  <si>
    <t xml:space="preserve">Дверь с нормируемым пределом огнестойкости, шумоподавление не менее 30 дБ, доводчик (п. 6.11.4)</t>
  </si>
  <si>
    <t xml:space="preserve">См. категорию: 60 дБА при автоматическом отключении станков (п. 6.8.7)</t>
  </si>
  <si>
    <t xml:space="preserve">4</t>
  </si>
  <si>
    <t xml:space="preserve">Коридор</t>
  </si>
  <si>
    <t xml:space="preserve">Коммуникационные пространства</t>
  </si>
  <si>
    <t xml:space="preserve">Смежные: 2 бойлерная, 3 слесарная</t>
  </si>
  <si>
    <t xml:space="preserve">5</t>
  </si>
  <si>
    <t xml:space="preserve">6</t>
  </si>
  <si>
    <t xml:space="preserve">7</t>
  </si>
  <si>
    <t xml:space="preserve">Смежная: 6 слесарная</t>
  </si>
  <si>
    <t xml:space="preserve">8</t>
  </si>
  <si>
    <t xml:space="preserve">Лестничная клетка</t>
  </si>
  <si>
    <t xml:space="preserve">9</t>
  </si>
  <si>
    <t xml:space="preserve">Подсобное</t>
  </si>
  <si>
    <t xml:space="preserve">Вспомогательные помещения</t>
  </si>
  <si>
    <t xml:space="preserve">Только если по назначению кладовая или электрощитовая — уточнить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</si>
  <si>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</si>
  <si>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</si>
  <si>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</si>
  <si>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</si>
  <si>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</si>
  <si>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</si>
  <si>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</si>
  <si>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</si>
  <si>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</si>
  <si>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Кабинет</t>
  </si>
  <si>
    <t xml:space="preserve">Учебные помещения</t>
  </si>
  <si>
    <t xml:space="preserve">19</t>
  </si>
  <si>
    <t xml:space="preserve">20</t>
  </si>
  <si>
    <t xml:space="preserve">Класс</t>
  </si>
  <si>
    <t xml:space="preserve">21</t>
  </si>
  <si>
    <t xml:space="preserve">22</t>
  </si>
  <si>
    <t xml:space="preserve">Смежный: 1 тир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</si>
  <si>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</si>
  <si>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</si>
  <si>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</si>
  <si>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</si>
  <si>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</si>
  <si>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</si>
  <si>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</si>
  <si>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</si>
  <si>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Зал</t>
  </si>
  <si>
    <t xml:space="preserve">Многоцелевые залы</t>
  </si>
  <si>
    <t xml:space="preserve">Назначение уточнить; принят как многоцелевой зал</t>
  </si>
  <si>
    <t xml:space="preserve">31</t>
  </si>
  <si>
    <t xml:space="preserve">Комната охраны</t>
  </si>
  <si>
    <t xml:space="preserve">Пост охраны</t>
  </si>
  <si>
    <t xml:space="preserve">Пожарный пост, аварийный микрофон</t>
  </si>
  <si>
    <t xml:space="preserve">32</t>
  </si>
  <si>
    <t xml:space="preserve">Смежные: 30 зал, 31 комната охраны</t>
  </si>
  <si>
    <t xml:space="preserve">33</t>
  </si>
  <si>
    <t xml:space="preserve">Тамбур</t>
  </si>
  <si>
    <t xml:space="preserve">При площади менее 4 м² оповещение можно не предусматривать (п. 6.1.3)</t>
  </si>
  <si>
    <t xml:space="preserve">34</t>
  </si>
  <si>
    <t xml:space="preserve">36</t>
  </si>
  <si>
    <t xml:space="preserve">Раздевалка</t>
  </si>
  <si>
    <t xml:space="preserve">37</t>
  </si>
  <si>
    <t xml:space="preserve">38</t>
  </si>
  <si>
    <t xml:space="preserve">Смежная: 36 раздевалка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</si>
  <si>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</si>
  <si>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</si>
  <si>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</si>
  <si>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</si>
  <si>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</si>
  <si>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Бытовка</t>
  </si>
  <si>
    <t xml:space="preserve">44</t>
  </si>
  <si>
    <t xml:space="preserve">Спортзал</t>
  </si>
  <si>
    <t xml:space="preserve">45</t>
  </si>
  <si>
    <t xml:space="preserve">Кладовая</t>
  </si>
  <si>
    <t xml:space="preserve">Да — кладовые</t>
  </si>
  <si>
    <t xml:space="preserve">46</t>
  </si>
  <si>
    <t xml:space="preserve">66</t>
  </si>
  <si>
    <t xml:space="preserve">Смежная: 66 столовая</t>
  </si>
  <si>
    <t xml:space="preserve">47</t>
  </si>
  <si>
    <t xml:space="preserve">Смежный: 44 спортзал</t>
  </si>
  <si>
    <t xml:space="preserve">48</t>
  </si>
  <si>
    <t xml:space="preserve">49</t>
  </si>
  <si>
    <t xml:space="preserve">Санузел</t>
  </si>
  <si>
    <t xml:space="preserve">Санузлы</t>
  </si>
  <si>
    <t xml:space="preserve">Нет — санузлы общественные (кроме служебных для персонала)</t>
  </si>
  <si>
    <t xml:space="preserve">50</t>
  </si>
  <si>
    <t xml:space="preserve">Смежная: 48 раздевалка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</si>
  <si>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</si>
  <si>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</si>
  <si>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</si>
  <si>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</si>
  <si>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</si>
  <si>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Смежная: 52 раздевалка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</si>
  <si>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</si>
  <si>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</si>
  <si>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</si>
  <si>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</si>
  <si>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</si>
  <si>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63</t>
  </si>
  <si>
    <t xml:space="preserve">Смежные: 63 холодильная камера, 62 склад</t>
  </si>
  <si>
    <t xml:space="preserve">61</t>
  </si>
  <si>
    <t xml:space="preserve">Кооридор</t>
  </si>
  <si>
    <t xml:space="preserve">Опечатка в экспликации: «Кооридор»</t>
  </si>
  <si>
    <t xml:space="preserve">62</t>
  </si>
  <si>
    <t xml:space="preserve">Склад</t>
  </si>
  <si>
    <t xml:space="preserve">По аналогии с кладовыми — обосновать в ПЗ</t>
  </si>
  <si>
    <t xml:space="preserve">Холодильная камера</t>
  </si>
  <si>
    <t xml:space="preserve">Пищеблок</t>
  </si>
  <si>
    <t xml:space="preserve">Да — помещения холодильных камер</t>
  </si>
  <si>
    <t xml:space="preserve">Звуковой</t>
  </si>
  <si>
    <t xml:space="preserve">Звуковой — если дверь отвечает п. 6.11.4; иначе речевой</t>
  </si>
  <si>
    <t xml:space="preserve">64</t>
  </si>
  <si>
    <t xml:space="preserve">Моечная</t>
  </si>
  <si>
    <t xml:space="preserve">Нет — пищеблок общественного питания</t>
  </si>
  <si>
    <t xml:space="preserve">65</t>
  </si>
  <si>
    <t xml:space="preserve">Столовая</t>
  </si>
  <si>
    <t xml:space="preserve">Обеденный зал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</si>
  <si>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</si>
  <si>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</si>
  <si>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</si>
  <si>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</si>
  <si>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</si>
  <si>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</si>
  <si>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</si>
  <si>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</si>
  <si>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Мастерская</t>
  </si>
  <si>
    <t xml:space="preserve">75</t>
  </si>
  <si>
    <t xml:space="preserve">Смежная: 74 мастерская</t>
  </si>
  <si>
    <t xml:space="preserve">76</t>
  </si>
  <si>
    <t xml:space="preserve">Инструментальная</t>
  </si>
  <si>
    <t xml:space="preserve">77</t>
  </si>
  <si>
    <t xml:space="preserve">Лаборантская</t>
  </si>
  <si>
    <t xml:space="preserve">78</t>
  </si>
  <si>
    <t xml:space="preserve">79</t>
  </si>
  <si>
    <t xml:space="preserve">Номер на плане не проставлен; принят по наихудшему смежному (74 мастерская) — уточнить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</si>
  <si>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</si>
  <si>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</si>
  <si>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</si>
  <si>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</si>
  <si>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</si>
  <si>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</si>
  <si>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35</t>
  </si>
  <si>
    <t xml:space="preserve">86</t>
  </si>
  <si>
    <t xml:space="preserve">Библиотека</t>
  </si>
  <si>
    <t xml:space="preserve">87</t>
  </si>
  <si>
    <t xml:space="preserve">88</t>
  </si>
  <si>
    <t xml:space="preserve">Лаборанская</t>
  </si>
  <si>
    <t xml:space="preserve">Опечатка в экспликации: «Лаборанская»</t>
  </si>
  <si>
    <t xml:space="preserve">89</t>
  </si>
  <si>
    <t xml:space="preserve">90</t>
  </si>
  <si>
    <t xml:space="preserve">91</t>
  </si>
  <si>
    <t xml:space="preserve">92</t>
  </si>
  <si>
    <t xml:space="preserve">Смежная: 35 раздевалка — проверить по плану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</si>
  <si>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</si>
  <si>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</si>
  <si>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</si>
  <si>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</si>
  <si>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</si>
  <si>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</si>
  <si>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</si>
  <si>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100</t>
  </si>
  <si>
    <t xml:space="preserve">101</t>
  </si>
  <si>
    <t xml:space="preserve">102</t>
  </si>
  <si>
    <t xml:space="preserve">103</t>
  </si>
  <si>
    <t xml:space="preserve">104</t>
  </si>
  <si>
    <t xml:space="preserve">105</t>
  </si>
  <si>
    <t xml:space="preserve">106</t>
  </si>
  <si>
    <t xml:space="preserve">107</t>
  </si>
  <si>
    <t xml:space="preserve">108</t>
  </si>
  <si>
    <t xml:space="preserve">109</t>
  </si>
  <si>
    <t xml:space="preserve">109.1</t>
  </si>
  <si>
    <t xml:space="preserve">110</t>
  </si>
  <si>
    <t xml:space="preserve">Медпункт</t>
  </si>
  <si>
    <t xml:space="preserve">Медицинские помещения</t>
  </si>
  <si>
    <t xml:space="preserve">111</t>
  </si>
  <si>
    <t xml:space="preserve">Процедурная</t>
  </si>
  <si>
    <t xml:space="preserve">112</t>
  </si>
  <si>
    <t xml:space="preserve">113</t>
  </si>
  <si>
    <t xml:space="preserve">114</t>
  </si>
  <si>
    <t xml:space="preserve">114.1</t>
  </si>
  <si>
    <t xml:space="preserve">115</t>
  </si>
  <si>
    <t xml:space="preserve">116</t>
  </si>
  <si>
    <t xml:space="preserve">117</t>
  </si>
  <si>
    <t xml:space="preserve">118</t>
  </si>
  <si>
    <t xml:space="preserve">119</t>
  </si>
  <si>
    <t xml:space="preserve">120</t>
  </si>
  <si>
    <t xml:space="preserve">121</t>
  </si>
  <si>
    <t xml:space="preserve">122</t>
  </si>
  <si>
    <t xml:space="preserve">123</t>
  </si>
  <si>
    <t xml:space="preserve">124</t>
  </si>
  <si>
    <t xml:space="preserve">Архив</t>
  </si>
  <si>
    <t xml:space="preserve">125</t>
  </si>
  <si>
    <t xml:space="preserve">126</t>
  </si>
  <si>
    <t xml:space="preserve">127</t>
  </si>
  <si>
    <t xml:space="preserve">Приемная</t>
  </si>
  <si>
    <t xml:space="preserve">128</t>
  </si>
  <si>
    <t xml:space="preserve">129</t>
  </si>
  <si>
    <t xml:space="preserve">Актовый зал</t>
  </si>
  <si>
    <t xml:space="preserve">Шум выше 65 дБА — разборчивость подтверждать расчётом</t>
  </si>
  <si>
    <t xml:space="preserve">130</t>
  </si>
  <si>
    <t xml:space="preserve">132</t>
  </si>
  <si>
    <t xml:space="preserve">Смежные: 132 венткамера, 129 актовый зал</t>
  </si>
  <si>
    <t xml:space="preserve">131</t>
  </si>
  <si>
    <t xml:space="preserve">Венткамера</t>
  </si>
  <si>
    <t xml:space="preserve">Да — венткамеры</t>
  </si>
  <si>
    <t xml:space="preserve">Звуковой: шум 80 дБА, расчёт разборчивости не нужен</t>
  </si>
  <si>
    <t xml:space="preserve">133</t>
  </si>
  <si>
    <t xml:space="preserve">134</t>
  </si>
  <si>
    <t xml:space="preserve">135</t>
  </si>
  <si>
    <t xml:space="preserve">136</t>
  </si>
  <si>
    <t xml:space="preserve">137</t>
  </si>
  <si>
    <t xml:space="preserve">Площадка</t>
  </si>
  <si>
    <t xml:space="preserve">Смежный: 129 актовый зал</t>
  </si>
  <si>
    <t xml:space="preserve">138</t>
  </si>
  <si>
    <t xml:space="preserve">139</t>
  </si>
  <si>
    <t xml:space="preserve">140</t>
  </si>
  <si>
    <t xml:space="preserve">141</t>
  </si>
  <si>
    <t xml:space="preserve">142</t>
  </si>
  <si>
    <t xml:space="preserve">143</t>
  </si>
  <si>
    <t xml:space="preserve">144</t>
  </si>
  <si>
    <t xml:space="preserve">145</t>
  </si>
  <si>
    <t xml:space="preserve">146</t>
  </si>
  <si>
    <t xml:space="preserve">147</t>
  </si>
  <si>
    <t xml:space="preserve">148</t>
  </si>
  <si>
    <t xml:space="preserve">149</t>
  </si>
  <si>
    <t xml:space="preserve">150</t>
  </si>
  <si>
    <t xml:space="preserve">151</t>
  </si>
  <si>
    <t xml:space="preserve">152</t>
  </si>
  <si>
    <t xml:space="preserve">153</t>
  </si>
  <si>
    <t xml:space="preserve">154</t>
  </si>
  <si>
    <t xml:space="preserve">155</t>
  </si>
  <si>
    <t xml:space="preserve">156</t>
  </si>
  <si>
    <t xml:space="preserve">157</t>
  </si>
  <si>
    <t xml:space="preserve">158</t>
  </si>
  <si>
    <t xml:space="preserve">159</t>
  </si>
  <si>
    <t xml:space="preserve">160</t>
  </si>
  <si>
    <t xml:space="preserve">161</t>
  </si>
  <si>
    <t xml:space="preserve">162</t>
  </si>
  <si>
    <t xml:space="preserve">163</t>
  </si>
  <si>
    <t xml:space="preserve">164</t>
  </si>
  <si>
    <t xml:space="preserve">165</t>
  </si>
  <si>
    <t xml:space="preserve">166</t>
  </si>
  <si>
    <t xml:space="preserve">167</t>
  </si>
  <si>
    <t xml:space="preserve">168</t>
  </si>
  <si>
    <t xml:space="preserve">169</t>
  </si>
  <si>
    <t xml:space="preserve">170</t>
  </si>
  <si>
    <t xml:space="preserve">171</t>
  </si>
  <si>
    <t xml:space="preserve">172</t>
  </si>
  <si>
    <t xml:space="preserve">173</t>
  </si>
  <si>
    <t xml:space="preserve">174</t>
  </si>
  <si>
    <t xml:space="preserve">175</t>
  </si>
  <si>
    <t xml:space="preserve">176</t>
  </si>
  <si>
    <t xml:space="preserve">177</t>
  </si>
  <si>
    <t xml:space="preserve">177.1</t>
  </si>
  <si>
    <t xml:space="preserve">178</t>
  </si>
  <si>
    <t xml:space="preserve">179</t>
  </si>
  <si>
    <t xml:space="preserve">180</t>
  </si>
  <si>
    <t xml:space="preserve">181</t>
  </si>
  <si>
    <t xml:space="preserve">182</t>
  </si>
  <si>
    <t xml:space="preserve">183</t>
  </si>
  <si>
    <t xml:space="preserve">184</t>
  </si>
  <si>
    <t xml:space="preserve">185</t>
  </si>
  <si>
    <t xml:space="preserve">186</t>
  </si>
  <si>
    <t xml:space="preserve">187</t>
  </si>
  <si>
    <t xml:space="preserve">188</t>
  </si>
  <si>
    <t xml:space="preserve">189</t>
  </si>
  <si>
    <t xml:space="preserve">190</t>
  </si>
  <si>
    <t xml:space="preserve">191</t>
  </si>
  <si>
    <t xml:space="preserve">192</t>
  </si>
  <si>
    <t xml:space="preserve">193</t>
  </si>
  <si>
    <t xml:space="preserve">194</t>
  </si>
  <si>
    <t xml:space="preserve">194.1</t>
  </si>
  <si>
    <t xml:space="preserve">195</t>
  </si>
  <si>
    <t xml:space="preserve">196</t>
  </si>
  <si>
    <t xml:space="preserve">197</t>
  </si>
  <si>
    <t xml:space="preserve">198</t>
  </si>
  <si>
    <t xml:space="preserve">199</t>
  </si>
  <si>
    <t xml:space="preserve">200</t>
  </si>
  <si>
    <t xml:space="preserve">201</t>
  </si>
  <si>
    <t xml:space="preserve">201.1</t>
  </si>
  <si>
    <t xml:space="preserve">202</t>
  </si>
  <si>
    <t xml:space="preserve">203</t>
  </si>
  <si>
    <t xml:space="preserve">204</t>
  </si>
  <si>
    <t xml:space="preserve">205</t>
  </si>
  <si>
    <t xml:space="preserve">206</t>
  </si>
  <si>
    <t xml:space="preserve">207</t>
  </si>
  <si>
    <t xml:space="preserve">208</t>
  </si>
  <si>
    <t xml:space="preserve">209</t>
  </si>
  <si>
    <t xml:space="preserve">210</t>
  </si>
  <si>
    <t xml:space="preserve">211</t>
  </si>
  <si>
    <t xml:space="preserve">212</t>
  </si>
  <si>
    <t xml:space="preserve">213</t>
  </si>
  <si>
    <t xml:space="preserve">214</t>
  </si>
  <si>
    <t xml:space="preserve">215</t>
  </si>
  <si>
    <t xml:space="preserve">Всего помещений</t>
  </si>
  <si>
    <t xml:space="preserve">Речевой способ</t>
  </si>
  <si>
    <t xml:space="preserve">Звуковой способ</t>
  </si>
  <si>
    <t xml:space="preserve">Шум выше 65 дБА (речевые, нужен расчёт разборчивости)</t>
  </si>
  <si>
    <t xml:space="preserve">Помещения, где речевой способ можно заменить на звуковой (прим. 3 к табл. Б.1 СП 3.13130.2026)</t>
  </si>
  <si>
    <t xml:space="preserve">Обязательное условие для любой замены (п. 6.11.4): помещение отделено от помещений с речевым оповещением дверью с нормируемым пределом огнестойкости, шумоподавлением не менее 30 дБ и доводчиком. При обычной двери замена не допускается.</t>
  </si>
  <si>
    <t xml:space="preserve">Назначение</t>
  </si>
  <si>
    <t xml:space="preserve">Основание замены</t>
  </si>
  <si>
    <t xml:space="preserve">Рекомендация</t>
  </si>
  <si>
    <t xml:space="preserve">LAeq, дБА</t>
  </si>
  <si>
    <t xml:space="preserve">Можно при соответствии двери; рекомендуется оставить речевой</t>
  </si>
  <si>
    <t xml:space="preserve">Звуковой, если дверь отвечает п. 6.11.4</t>
  </si>
  <si>
    <t xml:space="preserve">Звуковой (рекомендуется)</t>
  </si>
  <si>
    <t xml:space="preserve">Речевой (рекомендуется)</t>
  </si>
  <si>
    <t xml:space="preserve">Только с обоснованием / уточнением; рекомендуется оставить речевой</t>
  </si>
  <si>
    <t xml:space="preserve">Нельзя заменить: санузлы (в школе общественные), моечная 64 (пищеблок общественного питания), бойлерная 2 (нет в перечне, шум не выше 85 дБА), классы, кабинеты, залы, коридоры, лестницы.</t>
  </si>
  <si>
    <t xml:space="preserve">Пунктов перечня нет в здании: чердаки, технические этажи, помещения с газовым/аэрозольным/порошковым АУП, помещения с шумом выше 85 дБА, электрощитовые, машинные отделения лифтов. Если найдутся — туда тоже можно звуковой.</t>
  </si>
  <si>
    <t xml:space="preserve">Справочник: УЗД постоянного шума по табл. В.1 СП 3.13130.2026</t>
  </si>
  <si>
    <t xml:space="preserve">Синие значения в столбце B можно менять — лист «Общая таблица» пересчитается.</t>
  </si>
  <si>
    <t xml:space="preserve">Категория помещений</t>
  </si>
  <si>
    <t xml:space="preserve">Позиция табл. В.1</t>
  </si>
  <si>
    <t xml:space="preserve">Обоснование</t>
  </si>
  <si>
    <t xml:space="preserve">п. 6</t>
  </si>
  <si>
    <t xml:space="preserve">Классные помещения, учебные кабинеты, учительские, читальные залы библиотек</t>
  </si>
  <si>
    <t xml:space="preserve">по аналогии с п. 6</t>
  </si>
  <si>
    <t xml:space="preserve">Подсобные, кладовые, склад, архив, инструментальная, бытовка, приёмная — помещения образовательной организации; в табл. В.1 прямой позиции нет</t>
  </si>
  <si>
    <t xml:space="preserve">п. 5</t>
  </si>
  <si>
    <t xml:space="preserve">Кабинеты врачей медицинских организаций</t>
  </si>
  <si>
    <t xml:space="preserve">п. 28</t>
  </si>
  <si>
    <t xml:space="preserve">Ванные, душевые, санузлы</t>
  </si>
  <si>
    <t xml:space="preserve">п. 18 (тир, раздевалки — по аналогии)</t>
  </si>
  <si>
    <t xml:space="preserve">Спортивные залы</t>
  </si>
  <si>
    <t xml:space="preserve">п. 12</t>
  </si>
  <si>
    <t xml:space="preserve">Залы кафе, ресторанов</t>
  </si>
  <si>
    <t xml:space="preserve">по аналогии с п. 26</t>
  </si>
  <si>
    <t xml:space="preserve">Кухни ресторанов и кафе (моечная, холодильная камера)</t>
  </si>
  <si>
    <t xml:space="preserve">п. 16</t>
  </si>
  <si>
    <t xml:space="preserve">Многоцелевые залы (актовый зал, зал)</t>
  </si>
  <si>
    <t xml:space="preserve">п. 2</t>
  </si>
  <si>
    <t xml:space="preserve">Рабочие помещения диспетчерских служб с речевой связью по телефону</t>
  </si>
  <si>
    <t xml:space="preserve">по аналогии с п. 4</t>
  </si>
  <si>
    <t xml:space="preserve">Помещения с постоянными рабочими местами производственных предприятий; станки учтены как постоянный шум (п. 6.8.7). При автоматическом отключении станков по сигналу «Пожар» не более чем за 60 с принять 60 дБА</t>
  </si>
  <si>
    <t xml:space="preserve">п. 24</t>
  </si>
  <si>
    <t xml:space="preserve">Помещения компрессорных и насосных (постоянно или попеременно работающих)</t>
  </si>
  <si>
    <t xml:space="preserve">п. 23</t>
  </si>
  <si>
    <t xml:space="preserve">Помещения для вентмашин</t>
  </si>
  <si>
    <t xml:space="preserve">п. 21</t>
  </si>
  <si>
    <t xml:space="preserve">Коридоры, лестничные клетки, тамбуры: по уровню шума в помещениях, имеющих прямое сообщение. По умолчанию — учебные помещения (60); если рядом более шумное помещение — по нему (столбец E)</t>
  </si>
  <si>
    <t xml:space="preserve">Пояснения к общей таблице</t>
  </si>
  <si>
    <t xml:space="preserve">Источник</t>
  </si>
  <si>
    <t xml:space="preserve">СП 3.13130.2026 (введён с 01.06.2026), приложение В, п. В.2.1 и таблица В.1. УЗД постоянного шума принимается по измерениям или по справочным данным табл. В.1; по заданию на проектирование значения можно корректировать в большую сторону.</t>
  </si>
  <si>
    <t xml:space="preserve">Примечание 2 к табл. В.1: фактический УЗД постоянного шума уточняется при вводе системы в эксплуатацию.</t>
  </si>
  <si>
    <t xml:space="preserve">П. 6.8.6: уровни постоянного шума должны быть отражены в проектной документации.</t>
  </si>
  <si>
    <t xml:space="preserve">Как выбраны значения</t>
  </si>
  <si>
    <t xml:space="preserve">1. Где назначение помещения прямо есть в табл. В.1 — взята эта позиция.</t>
  </si>
  <si>
    <t xml:space="preserve">2. Где прямой позиции нет — ближайшая по смыслу; в спорных случаях выбиралось большее значение (это допускает п. В.2.1).</t>
  </si>
  <si>
    <t xml:space="preserve">3. Коридоры, лестничные клетки, тамбуры (п. 21) — по шуму в смежных помещениях: по умолчанию 60 дБА (учебные помещения); если в коридор выходит более шумное помещение — по нему (лист «Общая таблица», столбец E). Смежность определена по планам листов 6–9.</t>
  </si>
  <si>
    <t xml:space="preserve">4. Мастерские и слесарные приняты 80 дБА: станки считаются постоянным шумом, если их нельзя автоматически остановить при пожаре за 60 с (п. 6.8.7). Если в проект добавить отключение станков по сигналу «Пожар», на листе «Категории» поменять 80 на 60 — мастерские и коридоры 7, 75, 79, 81, 84, 85 пересчитаются. Коридор 4 останется 80 (смежная бойлерная).</t>
  </si>
  <si>
    <t xml:space="preserve">Что следует из уровня шума</t>
  </si>
  <si>
    <t xml:space="preserve">П. 6.8.2: сигнал оповещения должен превышать постоянный шум не менее чем на 15 дБ и быть не ниже 65 дБА в любой точке на высоте 1,5 м (столбец H общей таблицы).</t>
  </si>
  <si>
    <t xml:space="preserve">П. 6.8.4: не более 110 дБА на высоте 1,5 м.</t>
  </si>
  <si>
    <t xml:space="preserve">П. 6.11.1: разборчивость речи — не менее 90% площади помещения.</t>
  </si>
  <si>
    <t xml:space="preserve">П. 6.11.3: упрощённая оценка разборчивости допустима, если шум не выше 65 дБА, речь превышает шум не менее чем на 10 дБ, шаг оповещателей не более 6 м (однонаправленные) или 12 м (двунаправленные). При шуме выше 65 дБА — расчёт по приложению В или ПО изготовителя (столбец L общей таблицы).</t>
  </si>
  <si>
    <t xml:space="preserve">Что нужно уточнить</t>
  </si>
  <si>
    <t xml:space="preserve">• Пом. 30 «Зал» — назначение (принят как многоцелевой, 70 дБА).</t>
  </si>
  <si>
    <t xml:space="preserve">• Коридоры восточного крыла 1 этажа (79, 81, 84, 85): номера на плане не проставлены; приняты по мастерской 74 (худший случай).</t>
  </si>
  <si>
    <t xml:space="preserve">• Коридор 92 — смежность с раздевалкой 35 проверить по плану.</t>
  </si>
  <si>
    <t xml:space="preserve">• Тир (пом. 1): если стрельба в средствах защиты слуха — нужен световой способ оповещения (п. 6.2.9).</t>
  </si>
  <si>
    <t xml:space="preserve">• На плане 1 этажа есть помещения 7.1 и 70.1–70.5, которых нет в экспликации, — добавить в экспликацию и в эту таблицу.</t>
  </si>
  <si>
    <t xml:space="preserve">• Подвал: на плане нет номеров помещений и экспликации — уровни шума для подвала определить после её появления.</t>
  </si>
  <si>
    <t xml:space="preserve">• Опечатки в экспликации: 61 «Кооридор», 88 и 156 «Лаборанская».</t>
  </si>
  <si>
    <t xml:space="preserve">Замена речевого способа на звуковой</t>
  </si>
  <si>
    <t xml:space="preserve">Примечание 3 к табл. Б.1: в зданиях Ф1–Ф4 речевой способ может быть заменён на звуковой, в том числе в венткамерах, помещениях холодильных камер, кладовых, производственных помещениях, электрощитовых, на чердаках и технических этажах, в санузлах, не относящихся к общественным.</t>
  </si>
  <si>
    <t xml:space="preserve">П. 6.11.4: в акустически связанных пространствах звук и речь одновременно не допускаются. Звуковой способ допускается в помещении, сообщающемся с помещениями с речевым оповещением через дверь с нормируемым пределом огнестойкости, шумоподавлением не менее 30 дБ и доводчиком.</t>
  </si>
  <si>
    <t xml:space="preserve">Принято: звуковой — венткамера 132 и холодильная камера 63 (при соответствии двери). В остальных помещениях речевой: замена потребовала бы противопожарных дверей и отдельной линии питания 24 В для звуковых оповещателей.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</si>
</sst>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sz val="9"/>
      <color rgb="FF80808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9E1F2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808080"/>
          <bgColor rgb="FF000000"/>
        </patternFill>
      </fill>
    </dxf>
  </dxfs>
  <colors>
    <indexedColors>
      <rgbColor rgb="FF000000"/>
      <rgbColor rgb="FFFCE4D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"/>
    <col collapsed="false" customWidth="true" hidden="false" outlineLevel="0" max="3" min="3" style="0" width="22"/>
    <col collapsed="false" customWidth="true" hidden="false" outlineLevel="0" max="4" min="4" style="0" width="26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7" min="7" style="0" width="22"/>
    <col collapsed="false" customWidth="true" hidden="false" outlineLevel="0" max="8" min="8" style="0" width="13"/>
    <col collapsed="false" customWidth="true" hidden="false" outlineLevel="0" max="9" min="9" style="0" width="34"/>
    <col collapsed="false" customWidth="true" hidden="false" outlineLevel="0" max="10" min="10" style="0" width="30"/>
    <col collapsed="false" customWidth="true" hidden="false" outlineLevel="0" max="11" min="11" style="0" width="13"/>
    <col collapsed="false" customWidth="true" hidden="false" outlineLevel="0" max="12" min="12" style="0" width="24"/>
    <col collapsed="false" customWidth="true" hidden="false" outlineLevel="0" max="13" min="13" style="0" width="44"/>
    <col collapsed="false" customWidth="true" hidden="false" outlineLevel="0" max="14" min="14" style="0" width="1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66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</row>
    <row r="6" customFormat="false" ht="23.85" hidden="false" customHeight="false" outlineLevel="0" collapsed="false">
      <c r="A6" s="5" t="n">
        <v>1</v>
      </c>
      <c r="B6" s="6" t="s">
        <v>17</v>
      </c>
      <c r="C6" s="7" t="s">
        <v>18</v>
      </c>
      <c r="D6" s="8" t="s">
        <v>19</v>
      </c>
      <c r="E6" s="9"/>
      <c r="F6" s="10" t="n">
        <f aca="false">IF($E6="",$N6,MAX($N6,INDEX($N$6:$N$225,MATCH($E6,$B$6:$B$225,0))))</f>
        <v>65</v>
      </c>
      <c r="G6" s="7" t="str">
        <f aca="false">IF($E6="",VLOOKUP($D6,Категории!$A$5:$C$17,3,FALSE()),"п. 21 — по пом. "&amp;$E6)</f>
        <v>п. 18 (тир, раздевалки — по аналогии)</v>
      </c>
      <c r="H6" s="5" t="n">
        <f aca="false">MAX($F6+15,65)</f>
        <v>80</v>
      </c>
      <c r="I6" s="7" t="s">
        <v>20</v>
      </c>
      <c r="J6" s="7" t="s">
        <v>21</v>
      </c>
      <c r="K6" s="11" t="s">
        <v>22</v>
      </c>
      <c r="L6" s="7" t="str">
        <f aca="false">IF($K6="Звуковой","не требуется (звуковой способ)",IF($F6&lt;=65,"упрощённая оценка (п. 6.11.3)","нужен расчёт (прил. В / ПО изготовителя)"))</f>
        <v>упрощённая оценка (п. 6.11.3)</v>
      </c>
      <c r="M6" s="7" t="s">
        <v>23</v>
      </c>
      <c r="N6" s="12" t="n">
        <f aca="false">VLOOKUP($D6,Категории!$A$5:$C$17,2,FALSE())</f>
        <v>65</v>
      </c>
    </row>
    <row r="7" customFormat="false" ht="23.85" hidden="false" customHeight="false" outlineLevel="0" collapsed="false">
      <c r="A7" s="5" t="n">
        <v>1</v>
      </c>
      <c r="B7" s="6" t="s">
        <v>24</v>
      </c>
      <c r="C7" s="7" t="s">
        <v>25</v>
      </c>
      <c r="D7" s="8" t="s">
        <v>25</v>
      </c>
      <c r="E7" s="9"/>
      <c r="F7" s="10" t="n">
        <f aca="false">IF($E7="",$N7,MAX($N7,INDEX($N$6:$N$225,MATCH($E7,$B$6:$B$225,0))))</f>
        <v>80</v>
      </c>
      <c r="G7" s="7" t="str">
        <f aca="false">IF($E7="",VLOOKUP($D7,Категории!$A$5:$C$17,3,FALSE()),"п. 21 — по пом. "&amp;$E7)</f>
        <v>п. 24</v>
      </c>
      <c r="H7" s="5" t="n">
        <f aca="false">MAX($F7+15,65)</f>
        <v>95</v>
      </c>
      <c r="I7" s="7" t="s">
        <v>26</v>
      </c>
      <c r="J7" s="7" t="s">
        <v>21</v>
      </c>
      <c r="K7" s="11" t="s">
        <v>22</v>
      </c>
      <c r="L7" s="7" t="str">
        <f aca="false">IF($K7="Звуковой","не требуется (звуковой способ)",IF($F7&lt;=65,"упрощённая оценка (п. 6.11.3)","нужен расчёт (прил. В / ПО изготовителя)"))</f>
        <v>нужен расчёт (прил. В / ПО изготовителя)</v>
      </c>
      <c r="M7" s="7" t="s">
        <v>27</v>
      </c>
      <c r="N7" s="12" t="n">
        <f aca="false">VLOOKUP($D7,Категории!$A$5:$C$17,2,FALSE())</f>
        <v>80</v>
      </c>
    </row>
    <row r="8" customFormat="false" ht="35.05" hidden="false" customHeight="false" outlineLevel="0" collapsed="false">
      <c r="A8" s="5" t="n">
        <v>1</v>
      </c>
      <c r="B8" s="6" t="s">
        <v>28</v>
      </c>
      <c r="C8" s="7" t="s">
        <v>29</v>
      </c>
      <c r="D8" s="8" t="s">
        <v>30</v>
      </c>
      <c r="E8" s="9"/>
      <c r="F8" s="10" t="n">
        <f aca="false">IF($E8="",$N8,MAX($N8,INDEX($N$6:$N$225,MATCH($E8,$B$6:$B$225,0))))</f>
        <v>80</v>
      </c>
      <c r="G8" s="7" t="str">
        <f aca="false">IF($E8="",VLOOKUP($D8,Категории!$A$5:$C$17,3,FALSE()),"п. 21 — по пом. "&amp;$E8)</f>
        <v>по аналогии с п. 4</v>
      </c>
      <c r="H8" s="5" t="n">
        <f aca="false">MAX($F8+15,65)</f>
        <v>95</v>
      </c>
      <c r="I8" s="13" t="s">
        <v>31</v>
      </c>
      <c r="J8" s="7" t="s">
        <v>32</v>
      </c>
      <c r="K8" s="11" t="s">
        <v>22</v>
      </c>
      <c r="L8" s="7" t="str">
        <f aca="false">IF($K8="Звуковой","не требуется (звуковой способ)",IF($F8&lt;=65,"упрощённая оценка (п. 6.11.3)","нужен расчёт (прил. В / ПО изготовителя)"))</f>
        <v>нужен расчёт (прил. В / ПО изготовителя)</v>
      </c>
      <c r="M8" s="7" t="s">
        <v>33</v>
      </c>
      <c r="N8" s="12" t="n">
        <f aca="false">VLOOKUP($D8,Категории!$A$5:$C$17,2,FALSE())</f>
        <v>80</v>
      </c>
    </row>
    <row r="9" customFormat="false" ht="23.85" hidden="false" customHeight="false" outlineLevel="0" collapsed="false">
      <c r="A9" s="5" t="n">
        <v>1</v>
      </c>
      <c r="B9" s="6" t="s">
        <v>34</v>
      </c>
      <c r="C9" s="7" t="s">
        <v>35</v>
      </c>
      <c r="D9" s="8" t="s">
        <v>36</v>
      </c>
      <c r="E9" s="9" t="s">
        <v>24</v>
      </c>
      <c r="F9" s="10" t="n">
        <f aca="false">IF($E9="",$N9,MAX($N9,INDEX($N$6:$N$225,MATCH($E9,$B$6:$B$225,0))))</f>
        <v>80</v>
      </c>
      <c r="G9" s="7" t="str">
        <f aca="false">IF($E9="",VLOOKUP($D9,Категории!$A$5:$C$17,3,FALSE()),"п. 21 — по пом. "&amp;$E9)</f>
        <v>п. 21 — по пом. 2</v>
      </c>
      <c r="H9" s="5" t="n">
        <f aca="false">MAX($F9+15,65)</f>
        <v>95</v>
      </c>
      <c r="I9" s="7" t="s">
        <v>20</v>
      </c>
      <c r="J9" s="7" t="s">
        <v>21</v>
      </c>
      <c r="K9" s="11" t="s">
        <v>22</v>
      </c>
      <c r="L9" s="7" t="str">
        <f aca="false">IF($K9="Звуковой","не требуется (звуковой способ)",IF($F9&lt;=65,"упрощённая оценка (п. 6.11.3)","нужен расчёт (прил. В / ПО изготовителя)"))</f>
        <v>нужен расчёт (прил. В / ПО изготовителя)</v>
      </c>
      <c r="M9" s="7" t="s">
        <v>37</v>
      </c>
      <c r="N9" s="12" t="n">
        <f aca="false">VLOOKUP($D9,Категории!$A$5:$C$17,2,FALSE())</f>
        <v>60</v>
      </c>
    </row>
    <row r="10" customFormat="false" ht="35.05" hidden="false" customHeight="false" outlineLevel="0" collapsed="false">
      <c r="A10" s="5" t="n">
        <v>1</v>
      </c>
      <c r="B10" s="6" t="s">
        <v>38</v>
      </c>
      <c r="C10" s="7" t="s">
        <v>29</v>
      </c>
      <c r="D10" s="8" t="s">
        <v>30</v>
      </c>
      <c r="E10" s="9"/>
      <c r="F10" s="10" t="n">
        <f aca="false">IF($E10="",$N10,MAX($N10,INDEX($N$6:$N$225,MATCH($E10,$B$6:$B$225,0))))</f>
        <v>80</v>
      </c>
      <c r="G10" s="7" t="str">
        <f aca="false">IF($E10="",VLOOKUP($D10,Категории!$A$5:$C$17,3,FALSE()),"п. 21 — по пом. "&amp;$E10)</f>
        <v>по аналогии с п. 4</v>
      </c>
      <c r="H10" s="5" t="n">
        <f aca="false">MAX($F10+15,65)</f>
        <v>95</v>
      </c>
      <c r="I10" s="13" t="s">
        <v>31</v>
      </c>
      <c r="J10" s="7" t="s">
        <v>32</v>
      </c>
      <c r="K10" s="11" t="s">
        <v>22</v>
      </c>
      <c r="L10" s="7" t="str">
        <f aca="false">IF($K10="Звуковой","не требуется (звуковой способ)",IF($F10&lt;=65,"упрощённая оценка (п. 6.11.3)","нужен расчёт (прил. В / ПО изготовителя)"))</f>
        <v>нужен расчёт (прил. В / ПО изготовителя)</v>
      </c>
      <c r="M10" s="7" t="s">
        <v>33</v>
      </c>
      <c r="N10" s="12" t="n">
        <f aca="false">VLOOKUP($D10,Категории!$A$5:$C$17,2,FALSE())</f>
        <v>80</v>
      </c>
    </row>
    <row r="11" customFormat="false" ht="35.05" hidden="false" customHeight="false" outlineLevel="0" collapsed="false">
      <c r="A11" s="5" t="n">
        <v>1</v>
      </c>
      <c r="B11" s="6" t="s">
        <v>39</v>
      </c>
      <c r="C11" s="7" t="s">
        <v>29</v>
      </c>
      <c r="D11" s="8" t="s">
        <v>30</v>
      </c>
      <c r="E11" s="9"/>
      <c r="F11" s="10" t="n">
        <f aca="false">IF($E11="",$N11,MAX($N11,INDEX($N$6:$N$225,MATCH($E11,$B$6:$B$225,0))))</f>
        <v>80</v>
      </c>
      <c r="G11" s="7" t="str">
        <f aca="false">IF($E11="",VLOOKUP($D11,Категории!$A$5:$C$17,3,FALSE()),"п. 21 — по пом. "&amp;$E11)</f>
        <v>по аналогии с п. 4</v>
      </c>
      <c r="H11" s="5" t="n">
        <f aca="false">MAX($F11+15,65)</f>
        <v>95</v>
      </c>
      <c r="I11" s="13" t="s">
        <v>31</v>
      </c>
      <c r="J11" s="7" t="s">
        <v>32</v>
      </c>
      <c r="K11" s="11" t="s">
        <v>22</v>
      </c>
      <c r="L11" s="7" t="str">
        <f aca="false">IF($K11="Звуковой","не требуется (звуковой способ)",IF($F11&lt;=65,"упрощённая оценка (п. 6.11.3)","нужен расчёт (прил. В / ПО изготовителя)"))</f>
        <v>нужен расчёт (прил. В / ПО изготовителя)</v>
      </c>
      <c r="M11" s="7" t="s">
        <v>33</v>
      </c>
      <c r="N11" s="12" t="n">
        <f aca="false">VLOOKUP($D11,Категории!$A$5:$C$17,2,FALSE())</f>
        <v>80</v>
      </c>
    </row>
    <row r="12" customFormat="false" ht="23.85" hidden="false" customHeight="false" outlineLevel="0" collapsed="false">
      <c r="A12" s="5" t="n">
        <v>1</v>
      </c>
      <c r="B12" s="6" t="s">
        <v>40</v>
      </c>
      <c r="C12" s="7" t="s">
        <v>35</v>
      </c>
      <c r="D12" s="8" t="s">
        <v>36</v>
      </c>
      <c r="E12" s="9" t="s">
        <v>39</v>
      </c>
      <c r="F12" s="10" t="n">
        <f aca="false">IF($E12="",$N12,MAX($N12,INDEX($N$6:$N$225,MATCH($E12,$B$6:$B$225,0))))</f>
        <v>80</v>
      </c>
      <c r="G12" s="7" t="str">
        <f aca="false">IF($E12="",VLOOKUP($D12,Категории!$A$5:$C$17,3,FALSE()),"п. 21 — по пом. "&amp;$E12)</f>
        <v>п. 21 — по пом. 6</v>
      </c>
      <c r="H12" s="5" t="n">
        <f aca="false">MAX($F12+15,65)</f>
        <v>95</v>
      </c>
      <c r="I12" s="7" t="s">
        <v>20</v>
      </c>
      <c r="J12" s="7" t="s">
        <v>21</v>
      </c>
      <c r="K12" s="11" t="s">
        <v>22</v>
      </c>
      <c r="L12" s="7" t="str">
        <f aca="false">IF($K12="Звуковой","не требуется (звуковой способ)",IF($F12&lt;=65,"упрощённая оценка (п. 6.11.3)","нужен расчёт (прил. В / ПО изготовителя)"))</f>
        <v>нужен расчёт (прил. В / ПО изготовителя)</v>
      </c>
      <c r="M12" s="7" t="s">
        <v>41</v>
      </c>
      <c r="N12" s="12" t="n">
        <f aca="false">VLOOKUP($D12,Категории!$A$5:$C$17,2,FALSE())</f>
        <v>60</v>
      </c>
    </row>
    <row r="13" customFormat="false" ht="15" hidden="false" customHeight="false" outlineLevel="0" collapsed="false">
      <c r="A13" s="5" t="n">
        <v>1</v>
      </c>
      <c r="B13" s="6" t="s">
        <v>42</v>
      </c>
      <c r="C13" s="7" t="s">
        <v>43</v>
      </c>
      <c r="D13" s="8" t="s">
        <v>36</v>
      </c>
      <c r="E13" s="9"/>
      <c r="F13" s="10" t="n">
        <f aca="false">IF($E13="",$N13,MAX($N13,INDEX($N$6:$N$225,MATCH($E13,$B$6:$B$225,0))))</f>
        <v>60</v>
      </c>
      <c r="G13" s="7" t="str">
        <f aca="false">IF($E13="",VLOOKUP($D13,Категории!$A$5:$C$17,3,FALSE()),"п. 21 — по пом. "&amp;$E13)</f>
        <v>п. 21</v>
      </c>
      <c r="H13" s="5" t="n">
        <f aca="false">MAX($F13+15,65)</f>
        <v>75</v>
      </c>
      <c r="I13" s="7" t="s">
        <v>20</v>
      </c>
      <c r="J13" s="7" t="s">
        <v>21</v>
      </c>
      <c r="K13" s="11" t="s">
        <v>22</v>
      </c>
      <c r="L13" s="7" t="str">
        <f aca="false">IF($K13="Звуковой","не требуется (звуковой способ)",IF($F13&lt;=65,"упрощённая оценка (п. 6.11.3)","нужен расчёт (прил. В / ПО изготовителя)"))</f>
        <v>упрощённая оценка (п. 6.11.3)</v>
      </c>
      <c r="M13" s="7"/>
      <c r="N13" s="12" t="n">
        <f aca="false">VLOOKUP($D13,Категории!$A$5:$C$17,2,FALSE())</f>
        <v>60</v>
      </c>
    </row>
    <row r="14" customFormat="false" ht="35.05" hidden="false" customHeight="false" outlineLevel="0" collapsed="false">
      <c r="A14" s="5" t="n">
        <v>1</v>
      </c>
      <c r="B14" s="6" t="s">
        <v>44</v>
      </c>
      <c r="C14" s="7" t="s">
        <v>45</v>
      </c>
      <c r="D14" s="8" t="s">
        <v>46</v>
      </c>
      <c r="E14" s="9"/>
      <c r="F14" s="10" t="n">
        <f aca="false">IF($E14="",$N14,MAX($N14,INDEX($N$6:$N$225,MATCH($E14,$B$6:$B$225,0))))</f>
        <v>60</v>
      </c>
      <c r="G14" s="7" t="str">
        <f aca="false">IF($E14="",VLOOKUP($D14,Категории!$A$5:$C$17,3,FALSE()),"п. 21 — по пом. "&amp;$E14)</f>
        <v>по аналогии с п. 6</v>
      </c>
      <c r="H14" s="5" t="n">
        <f aca="false">MAX($F14+15,65)</f>
        <v>75</v>
      </c>
      <c r="I14" s="13" t="s">
        <v>47</v>
      </c>
      <c r="J14" s="7" t="s">
        <v>32</v>
      </c>
      <c r="K14" s="11" t="s">
        <v>22</v>
      </c>
      <c r="L14" s="7" t="str">
        <f aca="false">IF($K14="Звуковой","не требуется (звуковой способ)",IF($F14&lt;=65,"упрощённая оценка (п. 6.11.3)","нужен расчёт (прил. В / ПО изготовителя)"))</f>
        <v>упрощённая оценка (п. 6.11.3)</v>
      </c>
      <c r="M14" s="7"/>
      <c r="N14" s="12" t="n">
        <f aca="false">VLOOKUP($D14,Категории!$A$5:$C$17,2,FALSE())</f>
        <v>60</v>
      </c>
    </row>
    <row r="15" customFormat="false" ht="35.05" hidden="false" customHeight="false" outlineLevel="0" collapsed="false">
      <c r="A15" s="5" t="n">
        <v>1</v>
      </c>
      <c r="B15" s="6" t="s">
        <v>48</v>
      </c>
      <c r="C15" s="7" t="s">
        <v>45</v>
      </c>
      <c r="D15" s="8" t="s">
        <v>46</v>
      </c>
      <c r="E15" s="9"/>
      <c r="F15" s="10" t="n">
        <f aca="false">IF($E15="",$N15,MAX($N15,INDEX($N$6:$N$225,MATCH($E15,$B$6:$B$225,0))))</f>
        <v>60</v>
      </c>
      <c r="G15" s="7" t="str">
        <f aca="false">IF($E15="",VLOOKUP($D15,Категории!$A$5:$C$17,3,FALSE()),"п. 21 — по пом. "&amp;$E15)</f>
        <v>по аналогии с п. 6</v>
      </c>
      <c r="H15" s="5" t="n">
        <f aca="false">MAX($F15+15,65)</f>
        <v>75</v>
      </c>
      <c r="I15" s="13" t="s">
        <v>47</v>
      </c>
      <c r="J15" s="7" t="s">
        <v>32</v>
      </c>
      <c r="K15" s="11" t="s">
        <v>22</v>
      </c>
      <c r="L15" s="7" t="str">
        <f aca="false">IF($K15="Звуковой","не требуется (звуковой способ)",IF($F15&lt;=65,"упрощённая оценка (п. 6.11.3)","нужен расчёт (прил. В / ПО изготовителя)"))</f>
        <v>упрощённая оценка (п. 6.11.3)</v>
      </c>
      <c r="M15" s="7"/>
      <c r="N15" s="12" t="n">
        <f aca="false">VLOOKUP($D15,Категории!$A$5:$C$17,2,FALSE())</f>
        <v>60</v>
      </c>
    </row>
    <row r="16" customFormat="false" ht="35.05" hidden="false" customHeight="false" outlineLevel="0" collapsed="false">
      <c r="A16" s="5" t="n">
        <v>1</v>
      </c>
      <c r="B16" s="6" t="s">
        <v>49</v>
      </c>
      <c r="C16" s="7" t="s">
        <v>45</v>
      </c>
      <c r="D16" s="8" t="s">
        <v>46</v>
      </c>
      <c r="E16" s="9"/>
      <c r="F16" s="10" t="n">
        <f aca="false">IF($E16="",$N16,MAX($N16,INDEX($N$6:$N$225,MATCH($E16,$B$6:$B$225,0))))</f>
        <v>60</v>
      </c>
      <c r="G16" s="7" t="str">
        <f aca="false">IF($E16="",VLOOKUP($D16,Категории!$A$5:$C$17,3,FALSE()),"п. 21 — по пом. "&amp;$E16)</f>
        <v>по аналогии с п. 6</v>
      </c>
      <c r="H16" s="5" t="n">
        <f aca="false">MAX($F16+15,65)</f>
        <v>75</v>
      </c>
      <c r="I16" s="13" t="s">
        <v>47</v>
      </c>
      <c r="J16" s="7" t="s">
        <v>32</v>
      </c>
      <c r="K16" s="11" t="s">
        <v>22</v>
      </c>
      <c r="L16" s="7" t="str">
        <f aca="false">IF($K16="Звуковой","не требуется (звуковой способ)",IF($F16&lt;=65,"упрощённая оценка (п. 6.11.3)","нужен расчёт (прил. В / ПО изготовителя)"))</f>
        <v>упрощённая оценка (п. 6.11.3)</v>
      </c>
      <c r="M16" s="7"/>
      <c r="N16" s="12" t="n">
        <f aca="false">VLOOKUP($D16,Категории!$A$5:$C$17,2,FALSE())</f>
        <v>60</v>
      </c>
    </row>
    <row r="17" customFormat="false" ht="35.05" hidden="false" customHeight="false" outlineLevel="0" collapsed="false">
      <c r="A17" s="5" t="n">
        <v>1</v>
      </c>
      <c r="B17" s="6" t="s">
        <v>50</v>
      </c>
      <c r="C17" s="7" t="s">
        <v>45</v>
      </c>
      <c r="D17" s="8" t="s">
        <v>46</v>
      </c>
      <c r="E17" s="9"/>
      <c r="F17" s="10" t="n">
        <f aca="false">IF($E17="",$N17,MAX($N17,INDEX($N$6:$N$225,MATCH($E17,$B$6:$B$225,0))))</f>
        <v>60</v>
      </c>
      <c r="G17" s="7" t="str">
        <f aca="false">IF($E17="",VLOOKUP($D17,Категории!$A$5:$C$17,3,FALSE()),"п. 21 — по пом. "&amp;$E17)</f>
        <v>по аналогии с п. 6</v>
      </c>
      <c r="H17" s="5" t="n">
        <f aca="false">MAX($F17+15,65)</f>
        <v>75</v>
      </c>
      <c r="I17" s="13" t="s">
        <v>47</v>
      </c>
      <c r="J17" s="7" t="s">
        <v>32</v>
      </c>
      <c r="K17" s="11" t="s">
        <v>22</v>
      </c>
      <c r="L17" s="7" t="str">
        <f aca="false">IF($K17="Звуковой","не требуется (звуковой способ)",IF($F17&lt;=65,"упрощённая оценка (п. 6.11.3)","нужен расчёт (прил. В / ПО изготовителя)"))</f>
        <v>упрощённая оценка (п. 6.11.3)</v>
      </c>
      <c r="M17" s="7"/>
      <c r="N17" s="12" t="n">
        <f aca="false">VLOOKUP($D17,Категории!$A$5:$C$17,2,FALSE())</f>
        <v>60</v>
      </c>
    </row>
    <row r="18" customFormat="false" ht="35.05" hidden="false" customHeight="false" outlineLevel="0" collapsed="false">
      <c r="A18" s="5" t="n">
        <v>1</v>
      </c>
      <c r="B18" s="6" t="s">
        <v>51</v>
      </c>
      <c r="C18" s="7" t="s">
        <v>45</v>
      </c>
      <c r="D18" s="8" t="s">
        <v>46</v>
      </c>
      <c r="E18" s="9"/>
      <c r="F18" s="10" t="n">
        <f aca="false">IF($E18="",$N18,MAX($N18,INDEX($N$6:$N$225,MATCH($E18,$B$6:$B$225,0))))</f>
        <v>60</v>
      </c>
      <c r="G18" s="7" t="str">
        <f aca="false">IF($E18="",VLOOKUP($D18,Категории!$A$5:$C$17,3,FALSE()),"п. 21 — по пом. "&amp;$E18)</f>
        <v>по аналогии с п. 6</v>
      </c>
      <c r="H18" s="5" t="n">
        <f aca="false">MAX($F18+15,65)</f>
        <v>75</v>
      </c>
      <c r="I18" s="13" t="s">
        <v>47</v>
      </c>
      <c r="J18" s="7" t="s">
        <v>32</v>
      </c>
      <c r="K18" s="11" t="s">
        <v>22</v>
      </c>
      <c r="L18" s="7" t="str">
        <f aca="false">IF($K18="Звуковой","не требуется (звуковой способ)",IF($F18&lt;=65,"упрощённая оценка (п. 6.11.3)","нужен расчёт (прил. В / ПО изготовителя)"))</f>
        <v>упрощённая оценка (п. 6.11.3)</v>
      </c>
      <c r="M18" s="7"/>
      <c r="N18" s="12" t="n">
        <f aca="false">VLOOKUP($D18,Категории!$A$5:$C$17,2,FALSE())</f>
        <v>60</v>
      </c>
    </row>
    <row r="19" customFormat="false" ht="35.05" hidden="false" customHeight="false" outlineLevel="0" collapsed="false">
      <c r="A19" s="5" t="n">
        <v>1</v>
      </c>
      <c r="B19" s="6" t="s">
        <v>52</v>
      </c>
      <c r="C19" s="7" t="s">
        <v>45</v>
      </c>
      <c r="D19" s="8" t="s">
        <v>46</v>
      </c>
      <c r="E19" s="9"/>
      <c r="F19" s="10" t="n">
        <f aca="false">IF($E19="",$N19,MAX($N19,INDEX($N$6:$N$225,MATCH($E19,$B$6:$B$225,0))))</f>
        <v>60</v>
      </c>
      <c r="G19" s="7" t="str">
        <f aca="false">IF($E19="",VLOOKUP($D19,Категории!$A$5:$C$17,3,FALSE()),"п. 21 — по пом. "&amp;$E19)</f>
        <v>по аналогии с п. 6</v>
      </c>
      <c r="H19" s="5" t="n">
        <f aca="false">MAX($F19+15,65)</f>
        <v>75</v>
      </c>
      <c r="I19" s="13" t="s">
        <v>47</v>
      </c>
      <c r="J19" s="7" t="s">
        <v>32</v>
      </c>
      <c r="K19" s="11" t="s">
        <v>22</v>
      </c>
      <c r="L19" s="7" t="str">
        <f aca="false">IF($K19="Звуковой","не требуется (звуковой способ)",IF($F19&lt;=65,"упрощённая оценка (п. 6.11.3)","нужен расчёт (прил. В / ПО изготовителя)"))</f>
        <v>упрощённая оценка (п. 6.11.3)</v>
      </c>
      <c r="M19" s="7"/>
      <c r="N19" s="12" t="n">
        <f aca="false">VLOOKUP($D19,Категории!$A$5:$C$17,2,FALSE())</f>
        <v>60</v>
      </c>
    </row>
    <row r="20" customFormat="false" ht="35.05" hidden="false" customHeight="false" outlineLevel="0" collapsed="false">
      <c r="A20" s="5" t="n">
        <v>1</v>
      </c>
      <c r="B20" s="6" t="s">
        <v>53</v>
      </c>
      <c r="C20" s="7" t="s">
        <v>45</v>
      </c>
      <c r="D20" s="8" t="s">
        <v>46</v>
      </c>
      <c r="E20" s="9"/>
      <c r="F20" s="10" t="n">
        <f aca="false">IF($E20="",$N20,MAX($N20,INDEX($N$6:$N$225,MATCH($E20,$B$6:$B$225,0))))</f>
        <v>60</v>
      </c>
      <c r="G20" s="7" t="str">
        <f aca="false">IF($E20="",VLOOKUP($D20,Категории!$A$5:$C$17,3,FALSE()),"п. 21 — по пом. "&amp;$E20)</f>
        <v>по аналогии с п. 6</v>
      </c>
      <c r="H20" s="5" t="n">
        <f aca="false">MAX($F20+15,65)</f>
        <v>75</v>
      </c>
      <c r="I20" s="13" t="s">
        <v>47</v>
      </c>
      <c r="J20" s="7" t="s">
        <v>32</v>
      </c>
      <c r="K20" s="11" t="s">
        <v>22</v>
      </c>
      <c r="L20" s="7" t="str">
        <f aca="false">IF($K20="Звуковой","не требуется (звуковой способ)",IF($F20&lt;=65,"упрощённая оценка (п. 6.11.3)","нужен расчёт (прил. В / ПО изготовителя)"))</f>
        <v>упрощённая оценка (п. 6.11.3)</v>
      </c>
      <c r="M20" s="7"/>
      <c r="N20" s="12" t="n">
        <f aca="false">VLOOKUP($D20,Категории!$A$5:$C$17,2,FALSE())</f>
        <v>60</v>
      </c>
    </row>
    <row r="21" customFormat="false" ht="35.05" hidden="false" customHeight="false" outlineLevel="0" collapsed="false">
      <c r="A21" s="5" t="n">
        <v>1</v>
      </c>
      <c r="B21" s="6" t="s">
        <v>54</v>
      </c>
      <c r="C21" s="7" t="s">
        <v>45</v>
      </c>
      <c r="D21" s="8" t="s">
        <v>46</v>
      </c>
      <c r="E21" s="9"/>
      <c r="F21" s="10" t="n">
        <f aca="false">IF($E21="",$N21,MAX($N21,INDEX($N$6:$N$225,MATCH($E21,$B$6:$B$225,0))))</f>
        <v>60</v>
      </c>
      <c r="G21" s="7" t="str">
        <f aca="false">IF($E21="",VLOOKUP($D21,Категории!$A$5:$C$17,3,FALSE()),"п. 21 — по пом. "&amp;$E21)</f>
        <v>по аналогии с п. 6</v>
      </c>
      <c r="H21" s="5" t="n">
        <f aca="false">MAX($F21+15,65)</f>
        <v>75</v>
      </c>
      <c r="I21" s="13" t="s">
        <v>47</v>
      </c>
      <c r="J21" s="7" t="s">
        <v>32</v>
      </c>
      <c r="K21" s="11" t="s">
        <v>22</v>
      </c>
      <c r="L21" s="7" t="str">
        <f aca="false">IF($K21="Звуковой","не требуется (звуковой способ)",IF($F21&lt;=65,"упрощённая оценка (п. 6.11.3)","нужен расчёт (прил. В / ПО изготовителя)"))</f>
        <v>упрощённая оценка (п. 6.11.3)</v>
      </c>
      <c r="M21" s="7"/>
      <c r="N21" s="12" t="n">
        <f aca="false">VLOOKUP($D21,Категории!$A$5:$C$17,2,FALSE())</f>
        <v>60</v>
      </c>
    </row>
    <row r="22" customFormat="false" ht="15" hidden="false" customHeight="false" outlineLevel="0" collapsed="false">
      <c r="A22" s="5" t="n">
        <v>1</v>
      </c>
      <c r="B22" s="6" t="s">
        <v>55</v>
      </c>
      <c r="C22" s="7" t="s">
        <v>35</v>
      </c>
      <c r="D22" s="8" t="s">
        <v>36</v>
      </c>
      <c r="E22" s="9"/>
      <c r="F22" s="10" t="n">
        <f aca="false">IF($E22="",$N22,MAX($N22,INDEX($N$6:$N$225,MATCH($E22,$B$6:$B$225,0))))</f>
        <v>60</v>
      </c>
      <c r="G22" s="7" t="str">
        <f aca="false">IF($E22="",VLOOKUP($D22,Категории!$A$5:$C$17,3,FALSE()),"п. 21 — по пом. "&amp;$E22)</f>
        <v>п. 21</v>
      </c>
      <c r="H22" s="5" t="n">
        <f aca="false">MAX($F22+15,65)</f>
        <v>75</v>
      </c>
      <c r="I22" s="7" t="s">
        <v>20</v>
      </c>
      <c r="J22" s="7" t="s">
        <v>21</v>
      </c>
      <c r="K22" s="11" t="s">
        <v>22</v>
      </c>
      <c r="L22" s="7" t="str">
        <f aca="false">IF($K22="Звуковой","не требуется (звуковой способ)",IF($F22&lt;=65,"упрощённая оценка (п. 6.11.3)","нужен расчёт (прил. В / ПО изготовителя)"))</f>
        <v>упрощённая оценка (п. 6.11.3)</v>
      </c>
      <c r="M22" s="7"/>
      <c r="N22" s="12" t="n">
        <f aca="false">VLOOKUP($D22,Категории!$A$5:$C$17,2,FALSE())</f>
        <v>60</v>
      </c>
    </row>
    <row r="23" customFormat="false" ht="15" hidden="false" customHeight="false" outlineLevel="0" collapsed="false">
      <c r="A23" s="5" t="n">
        <v>1</v>
      </c>
      <c r="B23" s="6" t="s">
        <v>56</v>
      </c>
      <c r="C23" s="7" t="s">
        <v>57</v>
      </c>
      <c r="D23" s="8" t="s">
        <v>58</v>
      </c>
      <c r="E23" s="9"/>
      <c r="F23" s="10" t="n">
        <f aca="false">IF($E23="",$N23,MAX($N23,INDEX($N$6:$N$225,MATCH($E23,$B$6:$B$225,0))))</f>
        <v>60</v>
      </c>
      <c r="G23" s="7" t="str">
        <f aca="false">IF($E23="",VLOOKUP($D23,Категории!$A$5:$C$17,3,FALSE()),"п. 21 — по пом. "&amp;$E23)</f>
        <v>п. 6</v>
      </c>
      <c r="H23" s="5" t="n">
        <f aca="false">MAX($F23+15,65)</f>
        <v>75</v>
      </c>
      <c r="I23" s="7" t="s">
        <v>20</v>
      </c>
      <c r="J23" s="7" t="s">
        <v>21</v>
      </c>
      <c r="K23" s="11" t="s">
        <v>22</v>
      </c>
      <c r="L23" s="7" t="str">
        <f aca="false">IF($K23="Звуковой","не требуется (звуковой способ)",IF($F23&lt;=65,"упрощённая оценка (п. 6.11.3)","нужен расчёт (прил. В / ПО изготовителя)"))</f>
        <v>упрощённая оценка (п. 6.11.3)</v>
      </c>
      <c r="M23" s="7"/>
      <c r="N23" s="12" t="n">
        <f aca="false">VLOOKUP($D23,Категории!$A$5:$C$17,2,FALSE())</f>
        <v>60</v>
      </c>
    </row>
    <row r="24" customFormat="false" ht="15" hidden="false" customHeight="false" outlineLevel="0" collapsed="false">
      <c r="A24" s="5" t="n">
        <v>1</v>
      </c>
      <c r="B24" s="6" t="s">
        <v>59</v>
      </c>
      <c r="C24" s="7" t="s">
        <v>57</v>
      </c>
      <c r="D24" s="8" t="s">
        <v>58</v>
      </c>
      <c r="E24" s="9"/>
      <c r="F24" s="10" t="n">
        <f aca="false">IF($E24="",$N24,MAX($N24,INDEX($N$6:$N$225,MATCH($E24,$B$6:$B$225,0))))</f>
        <v>60</v>
      </c>
      <c r="G24" s="7" t="str">
        <f aca="false">IF($E24="",VLOOKUP($D24,Категории!$A$5:$C$17,3,FALSE()),"п. 21 — по пом. "&amp;$E24)</f>
        <v>п. 6</v>
      </c>
      <c r="H24" s="5" t="n">
        <f aca="false">MAX($F24+15,65)</f>
        <v>75</v>
      </c>
      <c r="I24" s="7" t="s">
        <v>20</v>
      </c>
      <c r="J24" s="7" t="s">
        <v>21</v>
      </c>
      <c r="K24" s="11" t="s">
        <v>22</v>
      </c>
      <c r="L24" s="7" t="str">
        <f aca="false">IF($K24="Звуковой","не требуется (звуковой способ)",IF($F24&lt;=65,"упрощённая оценка (п. 6.11.3)","нужен расчёт (прил. В / ПО изготовителя)"))</f>
        <v>упрощённая оценка (п. 6.11.3)</v>
      </c>
      <c r="M24" s="7"/>
      <c r="N24" s="12" t="n">
        <f aca="false">VLOOKUP($D24,Категории!$A$5:$C$17,2,FALSE())</f>
        <v>60</v>
      </c>
    </row>
    <row r="25" customFormat="false" ht="15" hidden="false" customHeight="false" outlineLevel="0" collapsed="false">
      <c r="A25" s="5" t="n">
        <v>1</v>
      </c>
      <c r="B25" s="6" t="s">
        <v>60</v>
      </c>
      <c r="C25" s="7" t="s">
        <v>61</v>
      </c>
      <c r="D25" s="8" t="s">
        <v>58</v>
      </c>
      <c r="E25" s="9"/>
      <c r="F25" s="10" t="n">
        <f aca="false">IF($E25="",$N25,MAX($N25,INDEX($N$6:$N$225,MATCH($E25,$B$6:$B$225,0))))</f>
        <v>60</v>
      </c>
      <c r="G25" s="7" t="str">
        <f aca="false">IF($E25="",VLOOKUP($D25,Категории!$A$5:$C$17,3,FALSE()),"п. 21 — по пом. "&amp;$E25)</f>
        <v>п. 6</v>
      </c>
      <c r="H25" s="5" t="n">
        <f aca="false">MAX($F25+15,65)</f>
        <v>75</v>
      </c>
      <c r="I25" s="7" t="s">
        <v>20</v>
      </c>
      <c r="J25" s="7" t="s">
        <v>21</v>
      </c>
      <c r="K25" s="11" t="s">
        <v>22</v>
      </c>
      <c r="L25" s="7" t="str">
        <f aca="false">IF($K25="Звуковой","не требуется (звуковой способ)",IF($F25&lt;=65,"упрощённая оценка (п. 6.11.3)","нужен расчёт (прил. В / ПО изготовителя)"))</f>
        <v>упрощённая оценка (п. 6.11.3)</v>
      </c>
      <c r="M25" s="7"/>
      <c r="N25" s="12" t="n">
        <f aca="false">VLOOKUP($D25,Категории!$A$5:$C$17,2,FALSE())</f>
        <v>60</v>
      </c>
    </row>
    <row r="26" customFormat="false" ht="15" hidden="false" customHeight="false" outlineLevel="0" collapsed="false">
      <c r="A26" s="5" t="n">
        <v>1</v>
      </c>
      <c r="B26" s="6" t="s">
        <v>62</v>
      </c>
      <c r="C26" s="7" t="s">
        <v>57</v>
      </c>
      <c r="D26" s="8" t="s">
        <v>58</v>
      </c>
      <c r="E26" s="9"/>
      <c r="F26" s="10" t="n">
        <f aca="false">IF($E26="",$N26,MAX($N26,INDEX($N$6:$N$225,MATCH($E26,$B$6:$B$225,0))))</f>
        <v>60</v>
      </c>
      <c r="G26" s="7" t="str">
        <f aca="false">IF($E26="",VLOOKUP($D26,Категории!$A$5:$C$17,3,FALSE()),"п. 21 — по пом. "&amp;$E26)</f>
        <v>п. 6</v>
      </c>
      <c r="H26" s="5" t="n">
        <f aca="false">MAX($F26+15,65)</f>
        <v>75</v>
      </c>
      <c r="I26" s="7" t="s">
        <v>20</v>
      </c>
      <c r="J26" s="7" t="s">
        <v>21</v>
      </c>
      <c r="K26" s="11" t="s">
        <v>22</v>
      </c>
      <c r="L26" s="7" t="str">
        <f aca="false">IF($K26="Звуковой","не требуется (звуковой способ)",IF($F26&lt;=65,"упрощённая оценка (п. 6.11.3)","нужен расчёт (прил. В / ПО изготовителя)"))</f>
        <v>упрощённая оценка (п. 6.11.3)</v>
      </c>
      <c r="M26" s="7"/>
      <c r="N26" s="12" t="n">
        <f aca="false">VLOOKUP($D26,Категории!$A$5:$C$17,2,FALSE())</f>
        <v>60</v>
      </c>
    </row>
    <row r="27" customFormat="false" ht="15" hidden="false" customHeight="false" outlineLevel="0" collapsed="false">
      <c r="A27" s="5" t="n">
        <v>1</v>
      </c>
      <c r="B27" s="6" t="s">
        <v>63</v>
      </c>
      <c r="C27" s="7" t="s">
        <v>35</v>
      </c>
      <c r="D27" s="8" t="s">
        <v>36</v>
      </c>
      <c r="E27" s="9" t="s">
        <v>17</v>
      </c>
      <c r="F27" s="10" t="n">
        <f aca="false">IF($E27="",$N27,MAX($N27,INDEX($N$6:$N$225,MATCH($E27,$B$6:$B$225,0))))</f>
        <v>65</v>
      </c>
      <c r="G27" s="7" t="str">
        <f aca="false">IF($E27="",VLOOKUP($D27,Категории!$A$5:$C$17,3,FALSE()),"п. 21 — по пом. "&amp;$E27)</f>
        <v>п. 21 — по пом. 1</v>
      </c>
      <c r="H27" s="5" t="n">
        <f aca="false">MAX($F27+15,65)</f>
        <v>80</v>
      </c>
      <c r="I27" s="7" t="s">
        <v>20</v>
      </c>
      <c r="J27" s="7" t="s">
        <v>21</v>
      </c>
      <c r="K27" s="11" t="s">
        <v>22</v>
      </c>
      <c r="L27" s="7" t="str">
        <f aca="false">IF($K27="Звуковой","не требуется (звуковой способ)",IF($F27&lt;=65,"упрощённая оценка (п. 6.11.3)","нужен расчёт (прил. В / ПО изготовителя)"))</f>
        <v>упрощённая оценка (п. 6.11.3)</v>
      </c>
      <c r="M27" s="7" t="s">
        <v>64</v>
      </c>
      <c r="N27" s="12" t="n">
        <f aca="false">VLOOKUP($D27,Категории!$A$5:$C$17,2,FALSE())</f>
        <v>60</v>
      </c>
    </row>
    <row r="28" customFormat="false" ht="15" hidden="false" customHeight="false" outlineLevel="0" collapsed="false">
      <c r="A28" s="5" t="n">
        <v>1</v>
      </c>
      <c r="B28" s="6" t="s">
        <v>65</v>
      </c>
      <c r="C28" s="7" t="s">
        <v>35</v>
      </c>
      <c r="D28" s="8" t="s">
        <v>36</v>
      </c>
      <c r="E28" s="9"/>
      <c r="F28" s="10" t="n">
        <f aca="false">IF($E28="",$N28,MAX($N28,INDEX($N$6:$N$225,MATCH($E28,$B$6:$B$225,0))))</f>
        <v>60</v>
      </c>
      <c r="G28" s="7" t="str">
        <f aca="false">IF($E28="",VLOOKUP($D28,Категории!$A$5:$C$17,3,FALSE()),"п. 21 — по пом. "&amp;$E28)</f>
        <v>п. 21</v>
      </c>
      <c r="H28" s="5" t="n">
        <f aca="false">MAX($F28+15,65)</f>
        <v>75</v>
      </c>
      <c r="I28" s="7" t="s">
        <v>20</v>
      </c>
      <c r="J28" s="7" t="s">
        <v>21</v>
      </c>
      <c r="K28" s="11" t="s">
        <v>22</v>
      </c>
      <c r="L28" s="7" t="str">
        <f aca="false">IF($K28="Звуковой","не требуется (звуковой способ)",IF($F28&lt;=65,"упрощённая оценка (п. 6.11.3)","нужен расчёт (прил. В / ПО изготовителя)"))</f>
        <v>упрощённая оценка (п. 6.11.3)</v>
      </c>
      <c r="M28" s="7"/>
      <c r="N28" s="12" t="n">
        <f aca="false">VLOOKUP($D28,Категории!$A$5:$C$17,2,FALSE())</f>
        <v>60</v>
      </c>
    </row>
    <row r="29" customFormat="false" ht="15" hidden="false" customHeight="false" outlineLevel="0" collapsed="false">
      <c r="A29" s="5" t="n">
        <v>1</v>
      </c>
      <c r="B29" s="6" t="s">
        <v>66</v>
      </c>
      <c r="C29" s="7" t="s">
        <v>57</v>
      </c>
      <c r="D29" s="8" t="s">
        <v>58</v>
      </c>
      <c r="E29" s="9"/>
      <c r="F29" s="10" t="n">
        <f aca="false">IF($E29="",$N29,MAX($N29,INDEX($N$6:$N$225,MATCH($E29,$B$6:$B$225,0))))</f>
        <v>60</v>
      </c>
      <c r="G29" s="7" t="str">
        <f aca="false">IF($E29="",VLOOKUP($D29,Категории!$A$5:$C$17,3,FALSE()),"п. 21 — по пом. "&amp;$E29)</f>
        <v>п. 6</v>
      </c>
      <c r="H29" s="5" t="n">
        <f aca="false">MAX($F29+15,65)</f>
        <v>75</v>
      </c>
      <c r="I29" s="7" t="s">
        <v>20</v>
      </c>
      <c r="J29" s="7" t="s">
        <v>21</v>
      </c>
      <c r="K29" s="11" t="s">
        <v>22</v>
      </c>
      <c r="L29" s="7" t="str">
        <f aca="false">IF($K29="Звуковой","не требуется (звуковой способ)",IF($F29&lt;=65,"упрощённая оценка (п. 6.11.3)","нужен расчёт (прил. В / ПО изготовителя)"))</f>
        <v>упрощённая оценка (п. 6.11.3)</v>
      </c>
      <c r="M29" s="7"/>
      <c r="N29" s="12" t="n">
        <f aca="false">VLOOKUP($D29,Категории!$A$5:$C$17,2,FALSE())</f>
        <v>60</v>
      </c>
    </row>
    <row r="30" customFormat="false" ht="15" hidden="false" customHeight="false" outlineLevel="0" collapsed="false">
      <c r="A30" s="5" t="n">
        <v>1</v>
      </c>
      <c r="B30" s="6" t="s">
        <v>67</v>
      </c>
      <c r="C30" s="7" t="s">
        <v>57</v>
      </c>
      <c r="D30" s="8" t="s">
        <v>58</v>
      </c>
      <c r="E30" s="9"/>
      <c r="F30" s="10" t="n">
        <f aca="false">IF($E30="",$N30,MAX($N30,INDEX($N$6:$N$225,MATCH($E30,$B$6:$B$225,0))))</f>
        <v>60</v>
      </c>
      <c r="G30" s="7" t="str">
        <f aca="false">IF($E30="",VLOOKUP($D30,Категории!$A$5:$C$17,3,FALSE()),"п. 21 — по пом. "&amp;$E30)</f>
        <v>п. 6</v>
      </c>
      <c r="H30" s="5" t="n">
        <f aca="false">MAX($F30+15,65)</f>
        <v>75</v>
      </c>
      <c r="I30" s="7" t="s">
        <v>20</v>
      </c>
      <c r="J30" s="7" t="s">
        <v>21</v>
      </c>
      <c r="K30" s="11" t="s">
        <v>22</v>
      </c>
      <c r="L30" s="7" t="str">
        <f aca="false">IF($K30="Звуковой","не требуется (звуковой способ)",IF($F30&lt;=65,"упрощённая оценка (п. 6.11.3)","нужен расчёт (прил. В / ПО изготовителя)"))</f>
        <v>упрощённая оценка (п. 6.11.3)</v>
      </c>
      <c r="M30" s="7"/>
      <c r="N30" s="12" t="n">
        <f aca="false">VLOOKUP($D30,Категории!$A$5:$C$17,2,FALSE())</f>
        <v>60</v>
      </c>
    </row>
    <row r="31" customFormat="false" ht="15" hidden="false" customHeight="false" outlineLevel="0" collapsed="false">
      <c r="A31" s="5" t="n">
        <v>1</v>
      </c>
      <c r="B31" s="6" t="s">
        <v>68</v>
      </c>
      <c r="C31" s="7" t="s">
        <v>57</v>
      </c>
      <c r="D31" s="8" t="s">
        <v>58</v>
      </c>
      <c r="E31" s="9"/>
      <c r="F31" s="10" t="n">
        <f aca="false">IF($E31="",$N31,MAX($N31,INDEX($N$6:$N$225,MATCH($E31,$B$6:$B$225,0))))</f>
        <v>60</v>
      </c>
      <c r="G31" s="7" t="str">
        <f aca="false">IF($E31="",VLOOKUP($D31,Категории!$A$5:$C$17,3,FALSE()),"п. 21 — по пом. "&amp;$E31)</f>
        <v>п. 6</v>
      </c>
      <c r="H31" s="5" t="n">
        <f aca="false">MAX($F31+15,65)</f>
        <v>75</v>
      </c>
      <c r="I31" s="7" t="s">
        <v>20</v>
      </c>
      <c r="J31" s="7" t="s">
        <v>21</v>
      </c>
      <c r="K31" s="11" t="s">
        <v>22</v>
      </c>
      <c r="L31" s="7" t="str">
        <f aca="false">IF($K31="Звуковой","не требуется (звуковой способ)",IF($F31&lt;=65,"упрощённая оценка (п. 6.11.3)","нужен расчёт (прил. В / ПО изготовителя)"))</f>
        <v>упрощённая оценка (п. 6.11.3)</v>
      </c>
      <c r="M31" s="7"/>
      <c r="N31" s="12" t="n">
        <f aca="false">VLOOKUP($D31,Категории!$A$5:$C$17,2,FALSE())</f>
        <v>60</v>
      </c>
    </row>
    <row r="32" customFormat="false" ht="15" hidden="false" customHeight="false" outlineLevel="0" collapsed="false">
      <c r="A32" s="5" t="n">
        <v>1</v>
      </c>
      <c r="B32" s="6" t="s">
        <v>69</v>
      </c>
      <c r="C32" s="7" t="s">
        <v>57</v>
      </c>
      <c r="D32" s="8" t="s">
        <v>58</v>
      </c>
      <c r="E32" s="9"/>
      <c r="F32" s="10" t="n">
        <f aca="false">IF($E32="",$N32,MAX($N32,INDEX($N$6:$N$225,MATCH($E32,$B$6:$B$225,0))))</f>
        <v>60</v>
      </c>
      <c r="G32" s="7" t="str">
        <f aca="false">IF($E32="",VLOOKUP($D32,Категории!$A$5:$C$17,3,FALSE()),"п. 21 — по пом. "&amp;$E32)</f>
        <v>п. 6</v>
      </c>
      <c r="H32" s="5" t="n">
        <f aca="false">MAX($F32+15,65)</f>
        <v>75</v>
      </c>
      <c r="I32" s="7" t="s">
        <v>20</v>
      </c>
      <c r="J32" s="7" t="s">
        <v>21</v>
      </c>
      <c r="K32" s="11" t="s">
        <v>22</v>
      </c>
      <c r="L32" s="7" t="str">
        <f aca="false">IF($K32="Звуковой","не требуется (звуковой способ)",IF($F32&lt;=65,"упрощённая оценка (п. 6.11.3)","нужен расчёт (прил. В / ПО изготовителя)"))</f>
        <v>упрощённая оценка (п. 6.11.3)</v>
      </c>
      <c r="M32" s="7"/>
      <c r="N32" s="12" t="n">
        <f aca="false">VLOOKUP($D32,Категории!$A$5:$C$17,2,FALSE())</f>
        <v>60</v>
      </c>
    </row>
    <row r="33" customFormat="false" ht="15" hidden="false" customHeight="false" outlineLevel="0" collapsed="false">
      <c r="A33" s="5" t="n">
        <v>1</v>
      </c>
      <c r="B33" s="6" t="s">
        <v>70</v>
      </c>
      <c r="C33" s="7" t="s">
        <v>35</v>
      </c>
      <c r="D33" s="8" t="s">
        <v>36</v>
      </c>
      <c r="E33" s="9"/>
      <c r="F33" s="10" t="n">
        <f aca="false">IF($E33="",$N33,MAX($N33,INDEX($N$6:$N$225,MATCH($E33,$B$6:$B$225,0))))</f>
        <v>60</v>
      </c>
      <c r="G33" s="7" t="str">
        <f aca="false">IF($E33="",VLOOKUP($D33,Категории!$A$5:$C$17,3,FALSE()),"п. 21 — по пом. "&amp;$E33)</f>
        <v>п. 21</v>
      </c>
      <c r="H33" s="5" t="n">
        <f aca="false">MAX($F33+15,65)</f>
        <v>75</v>
      </c>
      <c r="I33" s="7" t="s">
        <v>20</v>
      </c>
      <c r="J33" s="7" t="s">
        <v>21</v>
      </c>
      <c r="K33" s="11" t="s">
        <v>22</v>
      </c>
      <c r="L33" s="7" t="str">
        <f aca="false">IF($K33="Звуковой","не требуется (звуковой способ)",IF($F33&lt;=65,"упрощённая оценка (п. 6.11.3)","нужен расчёт (прил. В / ПО изготовителя)"))</f>
        <v>упрощённая оценка (п. 6.11.3)</v>
      </c>
      <c r="M33" s="7"/>
      <c r="N33" s="12" t="n">
        <f aca="false">VLOOKUP($D33,Категории!$A$5:$C$17,2,FALSE())</f>
        <v>60</v>
      </c>
    </row>
    <row r="34" customFormat="false" ht="15" hidden="false" customHeight="false" outlineLevel="0" collapsed="false">
      <c r="A34" s="5" t="n">
        <v>1</v>
      </c>
      <c r="B34" s="6" t="s">
        <v>71</v>
      </c>
      <c r="C34" s="7" t="s">
        <v>61</v>
      </c>
      <c r="D34" s="8" t="s">
        <v>58</v>
      </c>
      <c r="E34" s="9"/>
      <c r="F34" s="10" t="n">
        <f aca="false">IF($E34="",$N34,MAX($N34,INDEX($N$6:$N$225,MATCH($E34,$B$6:$B$225,0))))</f>
        <v>60</v>
      </c>
      <c r="G34" s="7" t="str">
        <f aca="false">IF($E34="",VLOOKUP($D34,Категории!$A$5:$C$17,3,FALSE()),"п. 21 — по пом. "&amp;$E34)</f>
        <v>п. 6</v>
      </c>
      <c r="H34" s="5" t="n">
        <f aca="false">MAX($F34+15,65)</f>
        <v>75</v>
      </c>
      <c r="I34" s="7" t="s">
        <v>20</v>
      </c>
      <c r="J34" s="7" t="s">
        <v>21</v>
      </c>
      <c r="K34" s="11" t="s">
        <v>22</v>
      </c>
      <c r="L34" s="7" t="str">
        <f aca="false">IF($K34="Звуковой","не требуется (звуковой способ)",IF($F34&lt;=65,"упрощённая оценка (п. 6.11.3)","нужен расчёт (прил. В / ПО изготовителя)"))</f>
        <v>упрощённая оценка (п. 6.11.3)</v>
      </c>
      <c r="M34" s="7"/>
      <c r="N34" s="12" t="n">
        <f aca="false">VLOOKUP($D34,Категории!$A$5:$C$17,2,FALSE())</f>
        <v>60</v>
      </c>
    </row>
    <row r="35" customFormat="false" ht="23.85" hidden="false" customHeight="false" outlineLevel="0" collapsed="false">
      <c r="A35" s="5" t="n">
        <v>1</v>
      </c>
      <c r="B35" s="6" t="s">
        <v>72</v>
      </c>
      <c r="C35" s="7" t="s">
        <v>73</v>
      </c>
      <c r="D35" s="8" t="s">
        <v>74</v>
      </c>
      <c r="E35" s="9"/>
      <c r="F35" s="10" t="n">
        <f aca="false">IF($E35="",$N35,MAX($N35,INDEX($N$6:$N$225,MATCH($E35,$B$6:$B$225,0))))</f>
        <v>70</v>
      </c>
      <c r="G35" s="7" t="str">
        <f aca="false">IF($E35="",VLOOKUP($D35,Категории!$A$5:$C$17,3,FALSE()),"п. 21 — по пом. "&amp;$E35)</f>
        <v>п. 16</v>
      </c>
      <c r="H35" s="5" t="n">
        <f aca="false">MAX($F35+15,65)</f>
        <v>85</v>
      </c>
      <c r="I35" s="7" t="s">
        <v>20</v>
      </c>
      <c r="J35" s="7" t="s">
        <v>21</v>
      </c>
      <c r="K35" s="11" t="s">
        <v>22</v>
      </c>
      <c r="L35" s="7" t="str">
        <f aca="false">IF($K35="Звуковой","не требуется (звуковой способ)",IF($F35&lt;=65,"упрощённая оценка (п. 6.11.3)","нужен расчёт (прил. В / ПО изготовителя)"))</f>
        <v>нужен расчёт (прил. В / ПО изготовителя)</v>
      </c>
      <c r="M35" s="7" t="s">
        <v>75</v>
      </c>
      <c r="N35" s="12" t="n">
        <f aca="false">VLOOKUP($D35,Категории!$A$5:$C$17,2,FALSE())</f>
        <v>70</v>
      </c>
    </row>
    <row r="36" customFormat="false" ht="23.85" hidden="false" customHeight="false" outlineLevel="0" collapsed="false">
      <c r="A36" s="5" t="n">
        <v>1</v>
      </c>
      <c r="B36" s="6" t="s">
        <v>76</v>
      </c>
      <c r="C36" s="7" t="s">
        <v>77</v>
      </c>
      <c r="D36" s="8" t="s">
        <v>78</v>
      </c>
      <c r="E36" s="9"/>
      <c r="F36" s="10" t="n">
        <f aca="false">IF($E36="",$N36,MAX($N36,INDEX($N$6:$N$225,MATCH($E36,$B$6:$B$225,0))))</f>
        <v>70</v>
      </c>
      <c r="G36" s="7" t="str">
        <f aca="false">IF($E36="",VLOOKUP($D36,Категории!$A$5:$C$17,3,FALSE()),"п. 21 — по пом. "&amp;$E36)</f>
        <v>п. 2</v>
      </c>
      <c r="H36" s="5" t="n">
        <f aca="false">MAX($F36+15,65)</f>
        <v>85</v>
      </c>
      <c r="I36" s="7" t="s">
        <v>20</v>
      </c>
      <c r="J36" s="7" t="s">
        <v>21</v>
      </c>
      <c r="K36" s="11" t="s">
        <v>22</v>
      </c>
      <c r="L36" s="7" t="str">
        <f aca="false">IF($K36="Звуковой","не требуется (звуковой способ)",IF($F36&lt;=65,"упрощённая оценка (п. 6.11.3)","нужен расчёт (прил. В / ПО изготовителя)"))</f>
        <v>нужен расчёт (прил. В / ПО изготовителя)</v>
      </c>
      <c r="M36" s="7" t="s">
        <v>79</v>
      </c>
      <c r="N36" s="12" t="n">
        <f aca="false">VLOOKUP($D36,Категории!$A$5:$C$17,2,FALSE())</f>
        <v>70</v>
      </c>
    </row>
    <row r="37" customFormat="false" ht="23.85" hidden="false" customHeight="false" outlineLevel="0" collapsed="false">
      <c r="A37" s="5" t="n">
        <v>1</v>
      </c>
      <c r="B37" s="6" t="s">
        <v>80</v>
      </c>
      <c r="C37" s="7" t="s">
        <v>35</v>
      </c>
      <c r="D37" s="8" t="s">
        <v>36</v>
      </c>
      <c r="E37" s="9" t="s">
        <v>72</v>
      </c>
      <c r="F37" s="10" t="n">
        <f aca="false">IF($E37="",$N37,MAX($N37,INDEX($N$6:$N$225,MATCH($E37,$B$6:$B$225,0))))</f>
        <v>70</v>
      </c>
      <c r="G37" s="7" t="str">
        <f aca="false">IF($E37="",VLOOKUP($D37,Категории!$A$5:$C$17,3,FALSE()),"п. 21 — по пом. "&amp;$E37)</f>
        <v>п. 21 — по пом. 30</v>
      </c>
      <c r="H37" s="5" t="n">
        <f aca="false">MAX($F37+15,65)</f>
        <v>85</v>
      </c>
      <c r="I37" s="7" t="s">
        <v>20</v>
      </c>
      <c r="J37" s="7" t="s">
        <v>21</v>
      </c>
      <c r="K37" s="11" t="s">
        <v>22</v>
      </c>
      <c r="L37" s="7" t="str">
        <f aca="false">IF($K37="Звуковой","не требуется (звуковой способ)",IF($F37&lt;=65,"упрощённая оценка (п. 6.11.3)","нужен расчёт (прил. В / ПО изготовителя)"))</f>
        <v>нужен расчёт (прил. В / ПО изготовителя)</v>
      </c>
      <c r="M37" s="7" t="s">
        <v>81</v>
      </c>
      <c r="N37" s="12" t="n">
        <f aca="false">VLOOKUP($D37,Категории!$A$5:$C$17,2,FALSE())</f>
        <v>60</v>
      </c>
    </row>
    <row r="38" customFormat="false" ht="23.85" hidden="false" customHeight="false" outlineLevel="0" collapsed="false">
      <c r="A38" s="5" t="n">
        <v>1</v>
      </c>
      <c r="B38" s="6" t="s">
        <v>82</v>
      </c>
      <c r="C38" s="7" t="s">
        <v>83</v>
      </c>
      <c r="D38" s="8" t="s">
        <v>36</v>
      </c>
      <c r="E38" s="9"/>
      <c r="F38" s="10" t="n">
        <f aca="false">IF($E38="",$N38,MAX($N38,INDEX($N$6:$N$225,MATCH($E38,$B$6:$B$225,0))))</f>
        <v>60</v>
      </c>
      <c r="G38" s="7" t="str">
        <f aca="false">IF($E38="",VLOOKUP($D38,Категории!$A$5:$C$17,3,FALSE()),"п. 21 — по пом. "&amp;$E38)</f>
        <v>п. 21</v>
      </c>
      <c r="H38" s="5" t="n">
        <f aca="false">MAX($F38+15,65)</f>
        <v>75</v>
      </c>
      <c r="I38" s="7" t="s">
        <v>20</v>
      </c>
      <c r="J38" s="7" t="s">
        <v>21</v>
      </c>
      <c r="K38" s="11" t="s">
        <v>22</v>
      </c>
      <c r="L38" s="7" t="str">
        <f aca="false">IF($K38="Звуковой","не требуется (звуковой способ)",IF($F38&lt;=65,"упрощённая оценка (п. 6.11.3)","нужен расчёт (прил. В / ПО изготовителя)"))</f>
        <v>упрощённая оценка (п. 6.11.3)</v>
      </c>
      <c r="M38" s="7" t="s">
        <v>84</v>
      </c>
      <c r="N38" s="12" t="n">
        <f aca="false">VLOOKUP($D38,Категории!$A$5:$C$17,2,FALSE())</f>
        <v>60</v>
      </c>
    </row>
    <row r="39" customFormat="false" ht="15" hidden="false" customHeight="false" outlineLevel="0" collapsed="false">
      <c r="A39" s="5" t="n">
        <v>1</v>
      </c>
      <c r="B39" s="6" t="s">
        <v>85</v>
      </c>
      <c r="C39" s="7" t="s">
        <v>35</v>
      </c>
      <c r="D39" s="8" t="s">
        <v>36</v>
      </c>
      <c r="E39" s="9"/>
      <c r="F39" s="10" t="n">
        <f aca="false">IF($E39="",$N39,MAX($N39,INDEX($N$6:$N$225,MATCH($E39,$B$6:$B$225,0))))</f>
        <v>60</v>
      </c>
      <c r="G39" s="7" t="str">
        <f aca="false">IF($E39="",VLOOKUP($D39,Категории!$A$5:$C$17,3,FALSE()),"п. 21 — по пом. "&amp;$E39)</f>
        <v>п. 21</v>
      </c>
      <c r="H39" s="5" t="n">
        <f aca="false">MAX($F39+15,65)</f>
        <v>75</v>
      </c>
      <c r="I39" s="7" t="s">
        <v>20</v>
      </c>
      <c r="J39" s="7" t="s">
        <v>21</v>
      </c>
      <c r="K39" s="11" t="s">
        <v>22</v>
      </c>
      <c r="L39" s="7" t="str">
        <f aca="false">IF($K39="Звуковой","не требуется (звуковой способ)",IF($F39&lt;=65,"упрощённая оценка (п. 6.11.3)","нужен расчёт (прил. В / ПО изготовителя)"))</f>
        <v>упрощённая оценка (п. 6.11.3)</v>
      </c>
      <c r="M39" s="7"/>
      <c r="N39" s="12" t="n">
        <f aca="false">VLOOKUP($D39,Категории!$A$5:$C$17,2,FALSE())</f>
        <v>60</v>
      </c>
    </row>
    <row r="40" customFormat="false" ht="23.85" hidden="false" customHeight="false" outlineLevel="0" collapsed="false">
      <c r="A40" s="5" t="n">
        <v>1</v>
      </c>
      <c r="B40" s="6" t="s">
        <v>86</v>
      </c>
      <c r="C40" s="7" t="s">
        <v>87</v>
      </c>
      <c r="D40" s="8" t="s">
        <v>19</v>
      </c>
      <c r="E40" s="9"/>
      <c r="F40" s="10" t="n">
        <f aca="false">IF($E40="",$N40,MAX($N40,INDEX($N$6:$N$225,MATCH($E40,$B$6:$B$225,0))))</f>
        <v>65</v>
      </c>
      <c r="G40" s="7" t="str">
        <f aca="false">IF($E40="",VLOOKUP($D40,Категории!$A$5:$C$17,3,FALSE()),"п. 21 — по пом. "&amp;$E40)</f>
        <v>п. 18 (тир, раздевалки — по аналогии)</v>
      </c>
      <c r="H40" s="5" t="n">
        <f aca="false">MAX($F40+15,65)</f>
        <v>80</v>
      </c>
      <c r="I40" s="7" t="s">
        <v>20</v>
      </c>
      <c r="J40" s="7" t="s">
        <v>21</v>
      </c>
      <c r="K40" s="11" t="s">
        <v>22</v>
      </c>
      <c r="L40" s="7" t="str">
        <f aca="false">IF($K40="Звуковой","не требуется (звуковой способ)",IF($F40&lt;=65,"упрощённая оценка (п. 6.11.3)","нужен расчёт (прил. В / ПО изготовителя)"))</f>
        <v>упрощённая оценка (п. 6.11.3)</v>
      </c>
      <c r="M40" s="7"/>
      <c r="N40" s="12" t="n">
        <f aca="false">VLOOKUP($D40,Категории!$A$5:$C$17,2,FALSE())</f>
        <v>65</v>
      </c>
    </row>
    <row r="41" customFormat="false" ht="15" hidden="false" customHeight="false" outlineLevel="0" collapsed="false">
      <c r="A41" s="5" t="n">
        <v>1</v>
      </c>
      <c r="B41" s="6" t="s">
        <v>88</v>
      </c>
      <c r="C41" s="7" t="s">
        <v>43</v>
      </c>
      <c r="D41" s="8" t="s">
        <v>36</v>
      </c>
      <c r="E41" s="9"/>
      <c r="F41" s="10" t="n">
        <f aca="false">IF($E41="",$N41,MAX($N41,INDEX($N$6:$N$225,MATCH($E41,$B$6:$B$225,0))))</f>
        <v>60</v>
      </c>
      <c r="G41" s="7" t="str">
        <f aca="false">IF($E41="",VLOOKUP($D41,Категории!$A$5:$C$17,3,FALSE()),"п. 21 — по пом. "&amp;$E41)</f>
        <v>п. 21</v>
      </c>
      <c r="H41" s="5" t="n">
        <f aca="false">MAX($F41+15,65)</f>
        <v>75</v>
      </c>
      <c r="I41" s="7" t="s">
        <v>20</v>
      </c>
      <c r="J41" s="7" t="s">
        <v>21</v>
      </c>
      <c r="K41" s="11" t="s">
        <v>22</v>
      </c>
      <c r="L41" s="7" t="str">
        <f aca="false">IF($K41="Звуковой","не требуется (звуковой способ)",IF($F41&lt;=65,"упрощённая оценка (п. 6.11.3)","нужен расчёт (прил. В / ПО изготовителя)"))</f>
        <v>упрощённая оценка (п. 6.11.3)</v>
      </c>
      <c r="M41" s="7"/>
      <c r="N41" s="12" t="n">
        <f aca="false">VLOOKUP($D41,Категории!$A$5:$C$17,2,FALSE())</f>
        <v>60</v>
      </c>
    </row>
    <row r="42" customFormat="false" ht="15" hidden="false" customHeight="false" outlineLevel="0" collapsed="false">
      <c r="A42" s="5" t="n">
        <v>1</v>
      </c>
      <c r="B42" s="6" t="s">
        <v>89</v>
      </c>
      <c r="C42" s="7" t="s">
        <v>35</v>
      </c>
      <c r="D42" s="8" t="s">
        <v>36</v>
      </c>
      <c r="E42" s="9" t="s">
        <v>86</v>
      </c>
      <c r="F42" s="10" t="n">
        <f aca="false">IF($E42="",$N42,MAX($N42,INDEX($N$6:$N$225,MATCH($E42,$B$6:$B$225,0))))</f>
        <v>65</v>
      </c>
      <c r="G42" s="7" t="str">
        <f aca="false">IF($E42="",VLOOKUP($D42,Категории!$A$5:$C$17,3,FALSE()),"п. 21 — по пом. "&amp;$E42)</f>
        <v>п. 21 — по пом. 36</v>
      </c>
      <c r="H42" s="5" t="n">
        <f aca="false">MAX($F42+15,65)</f>
        <v>80</v>
      </c>
      <c r="I42" s="7" t="s">
        <v>20</v>
      </c>
      <c r="J42" s="7" t="s">
        <v>21</v>
      </c>
      <c r="K42" s="11" t="s">
        <v>22</v>
      </c>
      <c r="L42" s="7" t="str">
        <f aca="false">IF($K42="Звуковой","не требуется (звуковой способ)",IF($F42&lt;=65,"упрощённая оценка (п. 6.11.3)","нужен расчёт (прил. В / ПО изготовителя)"))</f>
        <v>упрощённая оценка (п. 6.11.3)</v>
      </c>
      <c r="M42" s="7" t="s">
        <v>90</v>
      </c>
      <c r="N42" s="12" t="n">
        <f aca="false">VLOOKUP($D42,Категории!$A$5:$C$17,2,FALSE())</f>
        <v>60</v>
      </c>
    </row>
    <row r="43" customFormat="false" ht="15" hidden="false" customHeight="false" outlineLevel="0" collapsed="false">
      <c r="A43" s="5" t="n">
        <v>1</v>
      </c>
      <c r="B43" s="6" t="s">
        <v>91</v>
      </c>
      <c r="C43" s="7" t="s">
        <v>35</v>
      </c>
      <c r="D43" s="8" t="s">
        <v>36</v>
      </c>
      <c r="E43" s="9"/>
      <c r="F43" s="10" t="n">
        <f aca="false">IF($E43="",$N43,MAX($N43,INDEX($N$6:$N$225,MATCH($E43,$B$6:$B$225,0))))</f>
        <v>60</v>
      </c>
      <c r="G43" s="7" t="str">
        <f aca="false">IF($E43="",VLOOKUP($D43,Категории!$A$5:$C$17,3,FALSE()),"п. 21 — по пом. "&amp;$E43)</f>
        <v>п. 21</v>
      </c>
      <c r="H43" s="5" t="n">
        <f aca="false">MAX($F43+15,65)</f>
        <v>75</v>
      </c>
      <c r="I43" s="7" t="s">
        <v>20</v>
      </c>
      <c r="J43" s="7" t="s">
        <v>21</v>
      </c>
      <c r="K43" s="11" t="s">
        <v>22</v>
      </c>
      <c r="L43" s="7" t="str">
        <f aca="false">IF($K43="Звуковой","не требуется (звуковой способ)",IF($F43&lt;=65,"упрощённая оценка (п. 6.11.3)","нужен расчёт (прил. В / ПО изготовителя)"))</f>
        <v>упрощённая оценка (п. 6.11.3)</v>
      </c>
      <c r="M43" s="7"/>
      <c r="N43" s="12" t="n">
        <f aca="false">VLOOKUP($D43,Категории!$A$5:$C$17,2,FALSE())</f>
        <v>60</v>
      </c>
    </row>
    <row r="44" customFormat="false" ht="15" hidden="false" customHeight="false" outlineLevel="0" collapsed="false">
      <c r="A44" s="5" t="n">
        <v>1</v>
      </c>
      <c r="B44" s="6" t="s">
        <v>92</v>
      </c>
      <c r="C44" s="7" t="s">
        <v>35</v>
      </c>
      <c r="D44" s="8" t="s">
        <v>36</v>
      </c>
      <c r="E44" s="9"/>
      <c r="F44" s="10" t="n">
        <f aca="false">IF($E44="",$N44,MAX($N44,INDEX($N$6:$N$225,MATCH($E44,$B$6:$B$225,0))))</f>
        <v>60</v>
      </c>
      <c r="G44" s="7" t="str">
        <f aca="false">IF($E44="",VLOOKUP($D44,Категории!$A$5:$C$17,3,FALSE()),"п. 21 — по пом. "&amp;$E44)</f>
        <v>п. 21</v>
      </c>
      <c r="H44" s="5" t="n">
        <f aca="false">MAX($F44+15,65)</f>
        <v>75</v>
      </c>
      <c r="I44" s="7" t="s">
        <v>20</v>
      </c>
      <c r="J44" s="7" t="s">
        <v>21</v>
      </c>
      <c r="K44" s="11" t="s">
        <v>22</v>
      </c>
      <c r="L44" s="7" t="str">
        <f aca="false">IF($K44="Звуковой","не требуется (звуковой способ)",IF($F44&lt;=65,"упрощённая оценка (п. 6.11.3)","нужен расчёт (прил. В / ПО изготовителя)"))</f>
        <v>упрощённая оценка (п. 6.11.3)</v>
      </c>
      <c r="M44" s="7"/>
      <c r="N44" s="12" t="n">
        <f aca="false">VLOOKUP($D44,Категории!$A$5:$C$17,2,FALSE())</f>
        <v>60</v>
      </c>
    </row>
    <row r="45" customFormat="false" ht="15" hidden="false" customHeight="false" outlineLevel="0" collapsed="false">
      <c r="A45" s="5" t="n">
        <v>1</v>
      </c>
      <c r="B45" s="6" t="s">
        <v>93</v>
      </c>
      <c r="C45" s="7" t="s">
        <v>35</v>
      </c>
      <c r="D45" s="8" t="s">
        <v>36</v>
      </c>
      <c r="E45" s="9"/>
      <c r="F45" s="10" t="n">
        <f aca="false">IF($E45="",$N45,MAX($N45,INDEX($N$6:$N$225,MATCH($E45,$B$6:$B$225,0))))</f>
        <v>60</v>
      </c>
      <c r="G45" s="7" t="str">
        <f aca="false">IF($E45="",VLOOKUP($D45,Категории!$A$5:$C$17,3,FALSE()),"п. 21 — по пом. "&amp;$E45)</f>
        <v>п. 21</v>
      </c>
      <c r="H45" s="5" t="n">
        <f aca="false">MAX($F45+15,65)</f>
        <v>75</v>
      </c>
      <c r="I45" s="7" t="s">
        <v>20</v>
      </c>
      <c r="J45" s="7" t="s">
        <v>21</v>
      </c>
      <c r="K45" s="11" t="s">
        <v>22</v>
      </c>
      <c r="L45" s="7" t="str">
        <f aca="false">IF($K45="Звуковой","не требуется (звуковой способ)",IF($F45&lt;=65,"упрощённая оценка (п. 6.11.3)","нужен расчёт (прил. В / ПО изготовителя)"))</f>
        <v>упрощённая оценка (п. 6.11.3)</v>
      </c>
      <c r="M45" s="7"/>
      <c r="N45" s="12" t="n">
        <f aca="false">VLOOKUP($D45,Категории!$A$5:$C$17,2,FALSE())</f>
        <v>60</v>
      </c>
    </row>
    <row r="46" customFormat="false" ht="15" hidden="false" customHeight="false" outlineLevel="0" collapsed="false">
      <c r="A46" s="5" t="n">
        <v>1</v>
      </c>
      <c r="B46" s="6" t="s">
        <v>94</v>
      </c>
      <c r="C46" s="7" t="s">
        <v>35</v>
      </c>
      <c r="D46" s="8" t="s">
        <v>36</v>
      </c>
      <c r="E46" s="9"/>
      <c r="F46" s="10" t="n">
        <f aca="false">IF($E46="",$N46,MAX($N46,INDEX($N$6:$N$225,MATCH($E46,$B$6:$B$225,0))))</f>
        <v>60</v>
      </c>
      <c r="G46" s="7" t="str">
        <f aca="false">IF($E46="",VLOOKUP($D46,Категории!$A$5:$C$17,3,FALSE()),"п. 21 — по пом. "&amp;$E46)</f>
        <v>п. 21</v>
      </c>
      <c r="H46" s="5" t="n">
        <f aca="false">MAX($F46+15,65)</f>
        <v>75</v>
      </c>
      <c r="I46" s="7" t="s">
        <v>20</v>
      </c>
      <c r="J46" s="7" t="s">
        <v>21</v>
      </c>
      <c r="K46" s="11" t="s">
        <v>22</v>
      </c>
      <c r="L46" s="7" t="str">
        <f aca="false">IF($K46="Звуковой","не требуется (звуковой способ)",IF($F46&lt;=65,"упрощённая оценка (п. 6.11.3)","нужен расчёт (прил. В / ПО изготовителя)"))</f>
        <v>упрощённая оценка (п. 6.11.3)</v>
      </c>
      <c r="M46" s="7"/>
      <c r="N46" s="12" t="n">
        <f aca="false">VLOOKUP($D46,Категории!$A$5:$C$17,2,FALSE())</f>
        <v>60</v>
      </c>
    </row>
    <row r="47" customFormat="false" ht="15" hidden="false" customHeight="false" outlineLevel="0" collapsed="false">
      <c r="A47" s="5" t="n">
        <v>1</v>
      </c>
      <c r="B47" s="6" t="s">
        <v>95</v>
      </c>
      <c r="C47" s="7" t="s">
        <v>96</v>
      </c>
      <c r="D47" s="8" t="s">
        <v>46</v>
      </c>
      <c r="E47" s="9"/>
      <c r="F47" s="10" t="n">
        <f aca="false">IF($E47="",$N47,MAX($N47,INDEX($N$6:$N$225,MATCH($E47,$B$6:$B$225,0))))</f>
        <v>60</v>
      </c>
      <c r="G47" s="7" t="str">
        <f aca="false">IF($E47="",VLOOKUP($D47,Категории!$A$5:$C$17,3,FALSE()),"п. 21 — по пом. "&amp;$E47)</f>
        <v>по аналогии с п. 6</v>
      </c>
      <c r="H47" s="5" t="n">
        <f aca="false">MAX($F47+15,65)</f>
        <v>75</v>
      </c>
      <c r="I47" s="7" t="s">
        <v>20</v>
      </c>
      <c r="J47" s="7" t="s">
        <v>21</v>
      </c>
      <c r="K47" s="11" t="s">
        <v>22</v>
      </c>
      <c r="L47" s="7" t="str">
        <f aca="false">IF($K47="Звуковой","не требуется (звуковой способ)",IF($F47&lt;=65,"упрощённая оценка (п. 6.11.3)","нужен расчёт (прил. В / ПО изготовителя)"))</f>
        <v>упрощённая оценка (п. 6.11.3)</v>
      </c>
      <c r="M47" s="7"/>
      <c r="N47" s="12" t="n">
        <f aca="false">VLOOKUP($D47,Категории!$A$5:$C$17,2,FALSE())</f>
        <v>60</v>
      </c>
    </row>
    <row r="48" customFormat="false" ht="23.85" hidden="false" customHeight="false" outlineLevel="0" collapsed="false">
      <c r="A48" s="5" t="n">
        <v>1</v>
      </c>
      <c r="B48" s="6" t="s">
        <v>97</v>
      </c>
      <c r="C48" s="7" t="s">
        <v>98</v>
      </c>
      <c r="D48" s="8" t="s">
        <v>19</v>
      </c>
      <c r="E48" s="9"/>
      <c r="F48" s="10" t="n">
        <f aca="false">IF($E48="",$N48,MAX($N48,INDEX($N$6:$N$225,MATCH($E48,$B$6:$B$225,0))))</f>
        <v>65</v>
      </c>
      <c r="G48" s="7" t="str">
        <f aca="false">IF($E48="",VLOOKUP($D48,Категории!$A$5:$C$17,3,FALSE()),"п. 21 — по пом. "&amp;$E48)</f>
        <v>п. 18 (тир, раздевалки — по аналогии)</v>
      </c>
      <c r="H48" s="5" t="n">
        <f aca="false">MAX($F48+15,65)</f>
        <v>80</v>
      </c>
      <c r="I48" s="7" t="s">
        <v>20</v>
      </c>
      <c r="J48" s="7" t="s">
        <v>21</v>
      </c>
      <c r="K48" s="11" t="s">
        <v>22</v>
      </c>
      <c r="L48" s="7" t="str">
        <f aca="false">IF($K48="Звуковой","не требуется (звуковой способ)",IF($F48&lt;=65,"упрощённая оценка (п. 6.11.3)","нужен расчёт (прил. В / ПО изготовителя)"))</f>
        <v>упрощённая оценка (п. 6.11.3)</v>
      </c>
      <c r="M48" s="7"/>
      <c r="N48" s="12" t="n">
        <f aca="false">VLOOKUP($D48,Категории!$A$5:$C$17,2,FALSE())</f>
        <v>65</v>
      </c>
    </row>
    <row r="49" customFormat="false" ht="35.05" hidden="false" customHeight="false" outlineLevel="0" collapsed="false">
      <c r="A49" s="5" t="n">
        <v>1</v>
      </c>
      <c r="B49" s="6" t="s">
        <v>99</v>
      </c>
      <c r="C49" s="7" t="s">
        <v>100</v>
      </c>
      <c r="D49" s="8" t="s">
        <v>46</v>
      </c>
      <c r="E49" s="9"/>
      <c r="F49" s="10" t="n">
        <f aca="false">IF($E49="",$N49,MAX($N49,INDEX($N$6:$N$225,MATCH($E49,$B$6:$B$225,0))))</f>
        <v>60</v>
      </c>
      <c r="G49" s="7" t="str">
        <f aca="false">IF($E49="",VLOOKUP($D49,Категории!$A$5:$C$17,3,FALSE()),"п. 21 — по пом. "&amp;$E49)</f>
        <v>по аналогии с п. 6</v>
      </c>
      <c r="H49" s="5" t="n">
        <f aca="false">MAX($F49+15,65)</f>
        <v>75</v>
      </c>
      <c r="I49" s="14" t="s">
        <v>101</v>
      </c>
      <c r="J49" s="7" t="s">
        <v>32</v>
      </c>
      <c r="K49" s="11" t="s">
        <v>22</v>
      </c>
      <c r="L49" s="7" t="str">
        <f aca="false">IF($K49="Звуковой","не требуется (звуковой способ)",IF($F49&lt;=65,"упрощённая оценка (п. 6.11.3)","нужен расчёт (прил. В / ПО изготовителя)"))</f>
        <v>упрощённая оценка (п. 6.11.3)</v>
      </c>
      <c r="M49" s="7"/>
      <c r="N49" s="12" t="n">
        <f aca="false">VLOOKUP($D49,Категории!$A$5:$C$17,2,FALSE())</f>
        <v>60</v>
      </c>
    </row>
    <row r="50" customFormat="false" ht="15" hidden="false" customHeight="false" outlineLevel="0" collapsed="false">
      <c r="A50" s="5" t="n">
        <v>1</v>
      </c>
      <c r="B50" s="6" t="s">
        <v>102</v>
      </c>
      <c r="C50" s="7" t="s">
        <v>35</v>
      </c>
      <c r="D50" s="8" t="s">
        <v>36</v>
      </c>
      <c r="E50" s="9" t="s">
        <v>103</v>
      </c>
      <c r="F50" s="10" t="n">
        <f aca="false">IF($E50="",$N50,MAX($N50,INDEX($N$6:$N$225,MATCH($E50,$B$6:$B$225,0))))</f>
        <v>65</v>
      </c>
      <c r="G50" s="7" t="str">
        <f aca="false">IF($E50="",VLOOKUP($D50,Категории!$A$5:$C$17,3,FALSE()),"п. 21 — по пом. "&amp;$E50)</f>
        <v>п. 21 — по пом. 66</v>
      </c>
      <c r="H50" s="5" t="n">
        <f aca="false">MAX($F50+15,65)</f>
        <v>80</v>
      </c>
      <c r="I50" s="7" t="s">
        <v>20</v>
      </c>
      <c r="J50" s="7" t="s">
        <v>21</v>
      </c>
      <c r="K50" s="11" t="s">
        <v>22</v>
      </c>
      <c r="L50" s="7" t="str">
        <f aca="false">IF($K50="Звуковой","не требуется (звуковой способ)",IF($F50&lt;=65,"упрощённая оценка (п. 6.11.3)","нужен расчёт (прил. В / ПО изготовителя)"))</f>
        <v>упрощённая оценка (п. 6.11.3)</v>
      </c>
      <c r="M50" s="7" t="s">
        <v>104</v>
      </c>
      <c r="N50" s="12" t="n">
        <f aca="false">VLOOKUP($D50,Категории!$A$5:$C$17,2,FALSE())</f>
        <v>60</v>
      </c>
    </row>
    <row r="51" customFormat="false" ht="15" hidden="false" customHeight="false" outlineLevel="0" collapsed="false">
      <c r="A51" s="5" t="n">
        <v>1</v>
      </c>
      <c r="B51" s="6" t="s">
        <v>105</v>
      </c>
      <c r="C51" s="7" t="s">
        <v>35</v>
      </c>
      <c r="D51" s="8" t="s">
        <v>36</v>
      </c>
      <c r="E51" s="9" t="s">
        <v>97</v>
      </c>
      <c r="F51" s="10" t="n">
        <f aca="false">IF($E51="",$N51,MAX($N51,INDEX($N$6:$N$225,MATCH($E51,$B$6:$B$225,0))))</f>
        <v>65</v>
      </c>
      <c r="G51" s="7" t="str">
        <f aca="false">IF($E51="",VLOOKUP($D51,Категории!$A$5:$C$17,3,FALSE()),"п. 21 — по пом. "&amp;$E51)</f>
        <v>п. 21 — по пом. 44</v>
      </c>
      <c r="H51" s="5" t="n">
        <f aca="false">MAX($F51+15,65)</f>
        <v>80</v>
      </c>
      <c r="I51" s="7" t="s">
        <v>20</v>
      </c>
      <c r="J51" s="7" t="s">
        <v>21</v>
      </c>
      <c r="K51" s="11" t="s">
        <v>22</v>
      </c>
      <c r="L51" s="7" t="str">
        <f aca="false">IF($K51="Звуковой","не требуется (звуковой способ)",IF($F51&lt;=65,"упрощённая оценка (п. 6.11.3)","нужен расчёт (прил. В / ПО изготовителя)"))</f>
        <v>упрощённая оценка (п. 6.11.3)</v>
      </c>
      <c r="M51" s="7" t="s">
        <v>106</v>
      </c>
      <c r="N51" s="12" t="n">
        <f aca="false">VLOOKUP($D51,Категории!$A$5:$C$17,2,FALSE())</f>
        <v>60</v>
      </c>
    </row>
    <row r="52" customFormat="false" ht="23.85" hidden="false" customHeight="false" outlineLevel="0" collapsed="false">
      <c r="A52" s="5" t="n">
        <v>1</v>
      </c>
      <c r="B52" s="6" t="s">
        <v>107</v>
      </c>
      <c r="C52" s="7" t="s">
        <v>87</v>
      </c>
      <c r="D52" s="8" t="s">
        <v>19</v>
      </c>
      <c r="E52" s="9"/>
      <c r="F52" s="10" t="n">
        <f aca="false">IF($E52="",$N52,MAX($N52,INDEX($N$6:$N$225,MATCH($E52,$B$6:$B$225,0))))</f>
        <v>65</v>
      </c>
      <c r="G52" s="7" t="str">
        <f aca="false">IF($E52="",VLOOKUP($D52,Категории!$A$5:$C$17,3,FALSE()),"п. 21 — по пом. "&amp;$E52)</f>
        <v>п. 18 (тир, раздевалки — по аналогии)</v>
      </c>
      <c r="H52" s="5" t="n">
        <f aca="false">MAX($F52+15,65)</f>
        <v>80</v>
      </c>
      <c r="I52" s="7" t="s">
        <v>20</v>
      </c>
      <c r="J52" s="7" t="s">
        <v>21</v>
      </c>
      <c r="K52" s="11" t="s">
        <v>22</v>
      </c>
      <c r="L52" s="7" t="str">
        <f aca="false">IF($K52="Звуковой","не требуется (звуковой способ)",IF($F52&lt;=65,"упрощённая оценка (п. 6.11.3)","нужен расчёт (прил. В / ПО изготовителя)"))</f>
        <v>упрощённая оценка (п. 6.11.3)</v>
      </c>
      <c r="M52" s="7"/>
      <c r="N52" s="12" t="n">
        <f aca="false">VLOOKUP($D52,Категории!$A$5:$C$17,2,FALSE())</f>
        <v>65</v>
      </c>
    </row>
    <row r="53" customFormat="false" ht="23.85" hidden="false" customHeight="false" outlineLevel="0" collapsed="false">
      <c r="A53" s="5" t="n">
        <v>1</v>
      </c>
      <c r="B53" s="6" t="s">
        <v>108</v>
      </c>
      <c r="C53" s="7" t="s">
        <v>109</v>
      </c>
      <c r="D53" s="8" t="s">
        <v>110</v>
      </c>
      <c r="E53" s="9"/>
      <c r="F53" s="10" t="n">
        <f aca="false">IF($E53="",$N53,MAX($N53,INDEX($N$6:$N$225,MATCH($E53,$B$6:$B$225,0))))</f>
        <v>55</v>
      </c>
      <c r="G53" s="7" t="str">
        <f aca="false">IF($E53="",VLOOKUP($D53,Категории!$A$5:$C$17,3,FALSE()),"п. 21 — по пом. "&amp;$E53)</f>
        <v>п. 28</v>
      </c>
      <c r="H53" s="5" t="n">
        <f aca="false">MAX($F53+15,65)</f>
        <v>70</v>
      </c>
      <c r="I53" s="7" t="s">
        <v>111</v>
      </c>
      <c r="J53" s="7" t="s">
        <v>21</v>
      </c>
      <c r="K53" s="11" t="s">
        <v>22</v>
      </c>
      <c r="L53" s="7" t="str">
        <f aca="false">IF($K53="Звуковой","не требуется (звуковой способ)",IF($F53&lt;=65,"упрощённая оценка (п. 6.11.3)","нужен расчёт (прил. В / ПО изготовителя)"))</f>
        <v>упрощённая оценка (п. 6.11.3)</v>
      </c>
      <c r="M53" s="7"/>
      <c r="N53" s="12" t="n">
        <f aca="false">VLOOKUP($D53,Категории!$A$5:$C$17,2,FALSE())</f>
        <v>55</v>
      </c>
    </row>
    <row r="54" customFormat="false" ht="15" hidden="false" customHeight="false" outlineLevel="0" collapsed="false">
      <c r="A54" s="5" t="n">
        <v>1</v>
      </c>
      <c r="B54" s="6" t="s">
        <v>112</v>
      </c>
      <c r="C54" s="7" t="s">
        <v>35</v>
      </c>
      <c r="D54" s="8" t="s">
        <v>36</v>
      </c>
      <c r="E54" s="9" t="s">
        <v>107</v>
      </c>
      <c r="F54" s="10" t="n">
        <f aca="false">IF($E54="",$N54,MAX($N54,INDEX($N$6:$N$225,MATCH($E54,$B$6:$B$225,0))))</f>
        <v>65</v>
      </c>
      <c r="G54" s="7" t="str">
        <f aca="false">IF($E54="",VLOOKUP($D54,Категории!$A$5:$C$17,3,FALSE()),"п. 21 — по пом. "&amp;$E54)</f>
        <v>п. 21 — по пом. 48</v>
      </c>
      <c r="H54" s="5" t="n">
        <f aca="false">MAX($F54+15,65)</f>
        <v>80</v>
      </c>
      <c r="I54" s="7" t="s">
        <v>20</v>
      </c>
      <c r="J54" s="7" t="s">
        <v>21</v>
      </c>
      <c r="K54" s="11" t="s">
        <v>22</v>
      </c>
      <c r="L54" s="7" t="str">
        <f aca="false">IF($K54="Звуковой","не требуется (звуковой способ)",IF($F54&lt;=65,"упрощённая оценка (п. 6.11.3)","нужен расчёт (прил. В / ПО изготовителя)"))</f>
        <v>упрощённая оценка (п. 6.11.3)</v>
      </c>
      <c r="M54" s="7" t="s">
        <v>113</v>
      </c>
      <c r="N54" s="12" t="n">
        <f aca="false">VLOOKUP($D54,Категории!$A$5:$C$17,2,FALSE())</f>
        <v>60</v>
      </c>
    </row>
    <row r="55" customFormat="false" ht="23.85" hidden="false" customHeight="false" outlineLevel="0" collapsed="false">
      <c r="A55" s="5" t="n">
        <v>1</v>
      </c>
      <c r="B55" s="6" t="s">
        <v>114</v>
      </c>
      <c r="C55" s="7" t="s">
        <v>109</v>
      </c>
      <c r="D55" s="8" t="s">
        <v>110</v>
      </c>
      <c r="E55" s="9"/>
      <c r="F55" s="10" t="n">
        <f aca="false">IF($E55="",$N55,MAX($N55,INDEX($N$6:$N$225,MATCH($E55,$B$6:$B$225,0))))</f>
        <v>55</v>
      </c>
      <c r="G55" s="7" t="str">
        <f aca="false">IF($E55="",VLOOKUP($D55,Категории!$A$5:$C$17,3,FALSE()),"п. 21 — по пом. "&amp;$E55)</f>
        <v>п. 28</v>
      </c>
      <c r="H55" s="5" t="n">
        <f aca="false">MAX($F55+15,65)</f>
        <v>70</v>
      </c>
      <c r="I55" s="7" t="s">
        <v>111</v>
      </c>
      <c r="J55" s="7" t="s">
        <v>21</v>
      </c>
      <c r="K55" s="11" t="s">
        <v>22</v>
      </c>
      <c r="L55" s="7" t="str">
        <f aca="false">IF($K55="Звуковой","не требуется (звуковой способ)",IF($F55&lt;=65,"упрощённая оценка (п. 6.11.3)","нужен расчёт (прил. В / ПО изготовителя)"))</f>
        <v>упрощённая оценка (п. 6.11.3)</v>
      </c>
      <c r="M55" s="7"/>
      <c r="N55" s="12" t="n">
        <f aca="false">VLOOKUP($D55,Категории!$A$5:$C$17,2,FALSE())</f>
        <v>55</v>
      </c>
    </row>
    <row r="56" customFormat="false" ht="23.85" hidden="false" customHeight="false" outlineLevel="0" collapsed="false">
      <c r="A56" s="5" t="n">
        <v>1</v>
      </c>
      <c r="B56" s="6" t="s">
        <v>115</v>
      </c>
      <c r="C56" s="7" t="s">
        <v>87</v>
      </c>
      <c r="D56" s="8" t="s">
        <v>19</v>
      </c>
      <c r="E56" s="9"/>
      <c r="F56" s="10" t="n">
        <f aca="false">IF($E56="",$N56,MAX($N56,INDEX($N$6:$N$225,MATCH($E56,$B$6:$B$225,0))))</f>
        <v>65</v>
      </c>
      <c r="G56" s="7" t="str">
        <f aca="false">IF($E56="",VLOOKUP($D56,Категории!$A$5:$C$17,3,FALSE()),"п. 21 — по пом. "&amp;$E56)</f>
        <v>п. 18 (тир, раздевалки — по аналогии)</v>
      </c>
      <c r="H56" s="5" t="n">
        <f aca="false">MAX($F56+15,65)</f>
        <v>80</v>
      </c>
      <c r="I56" s="7" t="s">
        <v>20</v>
      </c>
      <c r="J56" s="7" t="s">
        <v>21</v>
      </c>
      <c r="K56" s="11" t="s">
        <v>22</v>
      </c>
      <c r="L56" s="7" t="str">
        <f aca="false">IF($K56="Звуковой","не требуется (звуковой способ)",IF($F56&lt;=65,"упрощённая оценка (п. 6.11.3)","нужен расчёт (прил. В / ПО изготовителя)"))</f>
        <v>упрощённая оценка (п. 6.11.3)</v>
      </c>
      <c r="M56" s="7"/>
      <c r="N56" s="12" t="n">
        <f aca="false">VLOOKUP($D56,Категории!$A$5:$C$17,2,FALSE())</f>
        <v>65</v>
      </c>
    </row>
    <row r="57" customFormat="false" ht="23.85" hidden="false" customHeight="false" outlineLevel="0" collapsed="false">
      <c r="A57" s="5" t="n">
        <v>1</v>
      </c>
      <c r="B57" s="6" t="s">
        <v>116</v>
      </c>
      <c r="C57" s="7" t="s">
        <v>109</v>
      </c>
      <c r="D57" s="8" t="s">
        <v>110</v>
      </c>
      <c r="E57" s="9"/>
      <c r="F57" s="10" t="n">
        <f aca="false">IF($E57="",$N57,MAX($N57,INDEX($N$6:$N$225,MATCH($E57,$B$6:$B$225,0))))</f>
        <v>55</v>
      </c>
      <c r="G57" s="7" t="str">
        <f aca="false">IF($E57="",VLOOKUP($D57,Категории!$A$5:$C$17,3,FALSE()),"п. 21 — по пом. "&amp;$E57)</f>
        <v>п. 28</v>
      </c>
      <c r="H57" s="5" t="n">
        <f aca="false">MAX($F57+15,65)</f>
        <v>70</v>
      </c>
      <c r="I57" s="7" t="s">
        <v>111</v>
      </c>
      <c r="J57" s="7" t="s">
        <v>21</v>
      </c>
      <c r="K57" s="11" t="s">
        <v>22</v>
      </c>
      <c r="L57" s="7" t="str">
        <f aca="false">IF($K57="Звуковой","не требуется (звуковой способ)",IF($F57&lt;=65,"упрощённая оценка (п. 6.11.3)","нужен расчёт (прил. В / ПО изготовителя)"))</f>
        <v>упрощённая оценка (п. 6.11.3)</v>
      </c>
      <c r="M57" s="7"/>
      <c r="N57" s="12" t="n">
        <f aca="false">VLOOKUP($D57,Категории!$A$5:$C$17,2,FALSE())</f>
        <v>55</v>
      </c>
    </row>
    <row r="58" customFormat="false" ht="23.85" hidden="false" customHeight="false" outlineLevel="0" collapsed="false">
      <c r="A58" s="5" t="n">
        <v>1</v>
      </c>
      <c r="B58" s="6" t="s">
        <v>117</v>
      </c>
      <c r="C58" s="7" t="s">
        <v>109</v>
      </c>
      <c r="D58" s="8" t="s">
        <v>110</v>
      </c>
      <c r="E58" s="9"/>
      <c r="F58" s="10" t="n">
        <f aca="false">IF($E58="",$N58,MAX($N58,INDEX($N$6:$N$225,MATCH($E58,$B$6:$B$225,0))))</f>
        <v>55</v>
      </c>
      <c r="G58" s="7" t="str">
        <f aca="false">IF($E58="",VLOOKUP($D58,Категории!$A$5:$C$17,3,FALSE()),"п. 21 — по пом. "&amp;$E58)</f>
        <v>п. 28</v>
      </c>
      <c r="H58" s="5" t="n">
        <f aca="false">MAX($F58+15,65)</f>
        <v>70</v>
      </c>
      <c r="I58" s="7" t="s">
        <v>111</v>
      </c>
      <c r="J58" s="7" t="s">
        <v>21</v>
      </c>
      <c r="K58" s="11" t="s">
        <v>22</v>
      </c>
      <c r="L58" s="7" t="str">
        <f aca="false">IF($K58="Звуковой","не требуется (звуковой способ)",IF($F58&lt;=65,"упрощённая оценка (п. 6.11.3)","нужен расчёт (прил. В / ПО изготовителя)"))</f>
        <v>упрощённая оценка (п. 6.11.3)</v>
      </c>
      <c r="M58" s="7"/>
      <c r="N58" s="12" t="n">
        <f aca="false">VLOOKUP($D58,Категории!$A$5:$C$17,2,FALSE())</f>
        <v>55</v>
      </c>
    </row>
    <row r="59" customFormat="false" ht="15" hidden="false" customHeight="false" outlineLevel="0" collapsed="false">
      <c r="A59" s="5" t="n">
        <v>1</v>
      </c>
      <c r="B59" s="6" t="s">
        <v>118</v>
      </c>
      <c r="C59" s="7" t="s">
        <v>35</v>
      </c>
      <c r="D59" s="8" t="s">
        <v>36</v>
      </c>
      <c r="E59" s="9" t="s">
        <v>115</v>
      </c>
      <c r="F59" s="10" t="n">
        <f aca="false">IF($E59="",$N59,MAX($N59,INDEX($N$6:$N$225,MATCH($E59,$B$6:$B$225,0))))</f>
        <v>65</v>
      </c>
      <c r="G59" s="7" t="str">
        <f aca="false">IF($E59="",VLOOKUP($D59,Категории!$A$5:$C$17,3,FALSE()),"п. 21 — по пом. "&amp;$E59)</f>
        <v>п. 21 — по пом. 52</v>
      </c>
      <c r="H59" s="5" t="n">
        <f aca="false">MAX($F59+15,65)</f>
        <v>80</v>
      </c>
      <c r="I59" s="7" t="s">
        <v>20</v>
      </c>
      <c r="J59" s="7" t="s">
        <v>21</v>
      </c>
      <c r="K59" s="11" t="s">
        <v>22</v>
      </c>
      <c r="L59" s="7" t="str">
        <f aca="false">IF($K59="Звуковой","не требуется (звуковой способ)",IF($F59&lt;=65,"упрощённая оценка (п. 6.11.3)","нужен расчёт (прил. В / ПО изготовителя)"))</f>
        <v>упрощённая оценка (п. 6.11.3)</v>
      </c>
      <c r="M59" s="7" t="s">
        <v>119</v>
      </c>
      <c r="N59" s="12" t="n">
        <f aca="false">VLOOKUP($D59,Категории!$A$5:$C$17,2,FALSE())</f>
        <v>60</v>
      </c>
    </row>
    <row r="60" customFormat="false" ht="15" hidden="false" customHeight="false" outlineLevel="0" collapsed="false">
      <c r="A60" s="5" t="n">
        <v>1</v>
      </c>
      <c r="B60" s="6" t="s">
        <v>120</v>
      </c>
      <c r="C60" s="7" t="s">
        <v>57</v>
      </c>
      <c r="D60" s="8" t="s">
        <v>58</v>
      </c>
      <c r="E60" s="9"/>
      <c r="F60" s="10" t="n">
        <f aca="false">IF($E60="",$N60,MAX($N60,INDEX($N$6:$N$225,MATCH($E60,$B$6:$B$225,0))))</f>
        <v>60</v>
      </c>
      <c r="G60" s="7" t="str">
        <f aca="false">IF($E60="",VLOOKUP($D60,Категории!$A$5:$C$17,3,FALSE()),"п. 21 — по пом. "&amp;$E60)</f>
        <v>п. 6</v>
      </c>
      <c r="H60" s="5" t="n">
        <f aca="false">MAX($F60+15,65)</f>
        <v>75</v>
      </c>
      <c r="I60" s="7" t="s">
        <v>20</v>
      </c>
      <c r="J60" s="7" t="s">
        <v>21</v>
      </c>
      <c r="K60" s="11" t="s">
        <v>22</v>
      </c>
      <c r="L60" s="7" t="str">
        <f aca="false">IF($K60="Звуковой","не требуется (звуковой способ)",IF($F60&lt;=65,"упрощённая оценка (п. 6.11.3)","нужен расчёт (прил. В / ПО изготовителя)"))</f>
        <v>упрощённая оценка (п. 6.11.3)</v>
      </c>
      <c r="M60" s="7"/>
      <c r="N60" s="12" t="n">
        <f aca="false">VLOOKUP($D60,Категории!$A$5:$C$17,2,FALSE())</f>
        <v>60</v>
      </c>
    </row>
    <row r="61" customFormat="false" ht="15" hidden="false" customHeight="false" outlineLevel="0" collapsed="false">
      <c r="A61" s="5" t="n">
        <v>1</v>
      </c>
      <c r="B61" s="6" t="s">
        <v>121</v>
      </c>
      <c r="C61" s="7" t="s">
        <v>57</v>
      </c>
      <c r="D61" s="8" t="s">
        <v>58</v>
      </c>
      <c r="E61" s="9"/>
      <c r="F61" s="10" t="n">
        <f aca="false">IF($E61="",$N61,MAX($N61,INDEX($N$6:$N$225,MATCH($E61,$B$6:$B$225,0))))</f>
        <v>60</v>
      </c>
      <c r="G61" s="7" t="str">
        <f aca="false">IF($E61="",VLOOKUP($D61,Категории!$A$5:$C$17,3,FALSE()),"п. 21 — по пом. "&amp;$E61)</f>
        <v>п. 6</v>
      </c>
      <c r="H61" s="5" t="n">
        <f aca="false">MAX($F61+15,65)</f>
        <v>75</v>
      </c>
      <c r="I61" s="7" t="s">
        <v>20</v>
      </c>
      <c r="J61" s="7" t="s">
        <v>21</v>
      </c>
      <c r="K61" s="11" t="s">
        <v>22</v>
      </c>
      <c r="L61" s="7" t="str">
        <f aca="false">IF($K61="Звуковой","не требуется (звуковой способ)",IF($F61&lt;=65,"упрощённая оценка (п. 6.11.3)","нужен расчёт (прил. В / ПО изготовителя)"))</f>
        <v>упрощённая оценка (п. 6.11.3)</v>
      </c>
      <c r="M61" s="7"/>
      <c r="N61" s="12" t="n">
        <f aca="false">VLOOKUP($D61,Категории!$A$5:$C$17,2,FALSE())</f>
        <v>60</v>
      </c>
    </row>
    <row r="62" customFormat="false" ht="35.05" hidden="false" customHeight="false" outlineLevel="0" collapsed="false">
      <c r="A62" s="5" t="n">
        <v>1</v>
      </c>
      <c r="B62" s="6" t="s">
        <v>122</v>
      </c>
      <c r="C62" s="7" t="s">
        <v>100</v>
      </c>
      <c r="D62" s="8" t="s">
        <v>46</v>
      </c>
      <c r="E62" s="9"/>
      <c r="F62" s="10" t="n">
        <f aca="false">IF($E62="",$N62,MAX($N62,INDEX($N$6:$N$225,MATCH($E62,$B$6:$B$225,0))))</f>
        <v>60</v>
      </c>
      <c r="G62" s="7" t="str">
        <f aca="false">IF($E62="",VLOOKUP($D62,Категории!$A$5:$C$17,3,FALSE()),"п. 21 — по пом. "&amp;$E62)</f>
        <v>по аналогии с п. 6</v>
      </c>
      <c r="H62" s="5" t="n">
        <f aca="false">MAX($F62+15,65)</f>
        <v>75</v>
      </c>
      <c r="I62" s="14" t="s">
        <v>101</v>
      </c>
      <c r="J62" s="7" t="s">
        <v>32</v>
      </c>
      <c r="K62" s="11" t="s">
        <v>22</v>
      </c>
      <c r="L62" s="7" t="str">
        <f aca="false">IF($K62="Звуковой","не требуется (звуковой способ)",IF($F62&lt;=65,"упрощённая оценка (п. 6.11.3)","нужен расчёт (прил. В / ПО изготовителя)"))</f>
        <v>упрощённая оценка (п. 6.11.3)</v>
      </c>
      <c r="M62" s="7"/>
      <c r="N62" s="12" t="n">
        <f aca="false">VLOOKUP($D62,Категории!$A$5:$C$17,2,FALSE())</f>
        <v>60</v>
      </c>
    </row>
    <row r="63" customFormat="false" ht="23.85" hidden="false" customHeight="false" outlineLevel="0" collapsed="false">
      <c r="A63" s="5" t="n">
        <v>1</v>
      </c>
      <c r="B63" s="6" t="s">
        <v>123</v>
      </c>
      <c r="C63" s="7" t="s">
        <v>109</v>
      </c>
      <c r="D63" s="8" t="s">
        <v>110</v>
      </c>
      <c r="E63" s="9"/>
      <c r="F63" s="10" t="n">
        <f aca="false">IF($E63="",$N63,MAX($N63,INDEX($N$6:$N$225,MATCH($E63,$B$6:$B$225,0))))</f>
        <v>55</v>
      </c>
      <c r="G63" s="7" t="str">
        <f aca="false">IF($E63="",VLOOKUP($D63,Категории!$A$5:$C$17,3,FALSE()),"п. 21 — по пом. "&amp;$E63)</f>
        <v>п. 28</v>
      </c>
      <c r="H63" s="5" t="n">
        <f aca="false">MAX($F63+15,65)</f>
        <v>70</v>
      </c>
      <c r="I63" s="7" t="s">
        <v>111</v>
      </c>
      <c r="J63" s="7" t="s">
        <v>21</v>
      </c>
      <c r="K63" s="11" t="s">
        <v>22</v>
      </c>
      <c r="L63" s="7" t="str">
        <f aca="false">IF($K63="Звуковой","не требуется (звуковой способ)",IF($F63&lt;=65,"упрощённая оценка (п. 6.11.3)","нужен расчёт (прил. В / ПО изготовителя)"))</f>
        <v>упрощённая оценка (п. 6.11.3)</v>
      </c>
      <c r="M63" s="7"/>
      <c r="N63" s="12" t="n">
        <f aca="false">VLOOKUP($D63,Категории!$A$5:$C$17,2,FALSE())</f>
        <v>55</v>
      </c>
    </row>
    <row r="64" customFormat="false" ht="23.85" hidden="false" customHeight="false" outlineLevel="0" collapsed="false">
      <c r="A64" s="5" t="n">
        <v>1</v>
      </c>
      <c r="B64" s="6" t="s">
        <v>124</v>
      </c>
      <c r="C64" s="7" t="s">
        <v>35</v>
      </c>
      <c r="D64" s="8" t="s">
        <v>36</v>
      </c>
      <c r="E64" s="9" t="s">
        <v>125</v>
      </c>
      <c r="F64" s="10" t="n">
        <f aca="false">IF($E64="",$N64,MAX($N64,INDEX($N$6:$N$225,MATCH($E64,$B$6:$B$225,0))))</f>
        <v>70</v>
      </c>
      <c r="G64" s="7" t="str">
        <f aca="false">IF($E64="",VLOOKUP($D64,Категории!$A$5:$C$17,3,FALSE()),"п. 21 — по пом. "&amp;$E64)</f>
        <v>п. 21 — по пом. 63</v>
      </c>
      <c r="H64" s="5" t="n">
        <f aca="false">MAX($F64+15,65)</f>
        <v>85</v>
      </c>
      <c r="I64" s="7" t="s">
        <v>20</v>
      </c>
      <c r="J64" s="7" t="s">
        <v>21</v>
      </c>
      <c r="K64" s="11" t="s">
        <v>22</v>
      </c>
      <c r="L64" s="7" t="str">
        <f aca="false">IF($K64="Звуковой","не требуется (звуковой способ)",IF($F64&lt;=65,"упрощённая оценка (п. 6.11.3)","нужен расчёт (прил. В / ПО изготовителя)"))</f>
        <v>нужен расчёт (прил. В / ПО изготовителя)</v>
      </c>
      <c r="M64" s="7" t="s">
        <v>126</v>
      </c>
      <c r="N64" s="12" t="n">
        <f aca="false">VLOOKUP($D64,Категории!$A$5:$C$17,2,FALSE())</f>
        <v>60</v>
      </c>
    </row>
    <row r="65" customFormat="false" ht="15" hidden="false" customHeight="false" outlineLevel="0" collapsed="false">
      <c r="A65" s="5" t="n">
        <v>1</v>
      </c>
      <c r="B65" s="6" t="s">
        <v>127</v>
      </c>
      <c r="C65" s="7" t="s">
        <v>128</v>
      </c>
      <c r="D65" s="8" t="s">
        <v>36</v>
      </c>
      <c r="E65" s="9"/>
      <c r="F65" s="10" t="n">
        <f aca="false">IF($E65="",$N65,MAX($N65,INDEX($N$6:$N$225,MATCH($E65,$B$6:$B$225,0))))</f>
        <v>60</v>
      </c>
      <c r="G65" s="7" t="str">
        <f aca="false">IF($E65="",VLOOKUP($D65,Категории!$A$5:$C$17,3,FALSE()),"п. 21 — по пом. "&amp;$E65)</f>
        <v>п. 21</v>
      </c>
      <c r="H65" s="5" t="n">
        <f aca="false">MAX($F65+15,65)</f>
        <v>75</v>
      </c>
      <c r="I65" s="7" t="s">
        <v>20</v>
      </c>
      <c r="J65" s="7" t="s">
        <v>21</v>
      </c>
      <c r="K65" s="11" t="s">
        <v>22</v>
      </c>
      <c r="L65" s="7" t="str">
        <f aca="false">IF($K65="Звуковой","не требуется (звуковой способ)",IF($F65&lt;=65,"упрощённая оценка (п. 6.11.3)","нужен расчёт (прил. В / ПО изготовителя)"))</f>
        <v>упрощённая оценка (п. 6.11.3)</v>
      </c>
      <c r="M65" s="7" t="s">
        <v>129</v>
      </c>
      <c r="N65" s="12" t="n">
        <f aca="false">VLOOKUP($D65,Категории!$A$5:$C$17,2,FALSE())</f>
        <v>60</v>
      </c>
    </row>
    <row r="66" customFormat="false" ht="35.05" hidden="false" customHeight="false" outlineLevel="0" collapsed="false">
      <c r="A66" s="5" t="n">
        <v>1</v>
      </c>
      <c r="B66" s="6" t="s">
        <v>130</v>
      </c>
      <c r="C66" s="7" t="s">
        <v>131</v>
      </c>
      <c r="D66" s="8" t="s">
        <v>46</v>
      </c>
      <c r="E66" s="9"/>
      <c r="F66" s="10" t="n">
        <f aca="false">IF($E66="",$N66,MAX($N66,INDEX($N$6:$N$225,MATCH($E66,$B$6:$B$225,0))))</f>
        <v>60</v>
      </c>
      <c r="G66" s="7" t="str">
        <f aca="false">IF($E66="",VLOOKUP($D66,Категории!$A$5:$C$17,3,FALSE()),"п. 21 — по пом. "&amp;$E66)</f>
        <v>по аналогии с п. 6</v>
      </c>
      <c r="H66" s="5" t="n">
        <f aca="false">MAX($F66+15,65)</f>
        <v>75</v>
      </c>
      <c r="I66" s="13" t="s">
        <v>132</v>
      </c>
      <c r="J66" s="7" t="s">
        <v>32</v>
      </c>
      <c r="K66" s="11" t="s">
        <v>22</v>
      </c>
      <c r="L66" s="7" t="str">
        <f aca="false">IF($K66="Звуковой","не требуется (звуковой способ)",IF($F66&lt;=65,"упрощённая оценка (п. 6.11.3)","нужен расчёт (прил. В / ПО изготовителя)"))</f>
        <v>упрощённая оценка (п. 6.11.3)</v>
      </c>
      <c r="M66" s="7"/>
      <c r="N66" s="12" t="n">
        <f aca="false">VLOOKUP($D66,Категории!$A$5:$C$17,2,FALSE())</f>
        <v>60</v>
      </c>
    </row>
    <row r="67" customFormat="false" ht="35.05" hidden="false" customHeight="false" outlineLevel="0" collapsed="false">
      <c r="A67" s="5" t="n">
        <v>1</v>
      </c>
      <c r="B67" s="6" t="s">
        <v>125</v>
      </c>
      <c r="C67" s="7" t="s">
        <v>133</v>
      </c>
      <c r="D67" s="8" t="s">
        <v>134</v>
      </c>
      <c r="E67" s="9"/>
      <c r="F67" s="10" t="n">
        <f aca="false">IF($E67="",$N67,MAX($N67,INDEX($N$6:$N$225,MATCH($E67,$B$6:$B$225,0))))</f>
        <v>70</v>
      </c>
      <c r="G67" s="7" t="str">
        <f aca="false">IF($E67="",VLOOKUP($D67,Категории!$A$5:$C$17,3,FALSE()),"п. 21 — по пом. "&amp;$E67)</f>
        <v>по аналогии с п. 26</v>
      </c>
      <c r="H67" s="5" t="n">
        <f aca="false">MAX($F67+15,65)</f>
        <v>85</v>
      </c>
      <c r="I67" s="14" t="s">
        <v>135</v>
      </c>
      <c r="J67" s="7" t="s">
        <v>32</v>
      </c>
      <c r="K67" s="11" t="s">
        <v>136</v>
      </c>
      <c r="L67" s="7" t="str">
        <f aca="false">IF($K67="Звуковой","не требуется (звуковой способ)",IF($F67&lt;=65,"упрощённая оценка (п. 6.11.3)","нужен расчёт (прил. В / ПО изготовителя)"))</f>
        <v>не требуется (звуковой способ)</v>
      </c>
      <c r="M67" s="7" t="s">
        <v>137</v>
      </c>
      <c r="N67" s="12" t="n">
        <f aca="false">VLOOKUP($D67,Категории!$A$5:$C$17,2,FALSE())</f>
        <v>70</v>
      </c>
    </row>
    <row r="68" customFormat="false" ht="23.85" hidden="false" customHeight="false" outlineLevel="0" collapsed="false">
      <c r="A68" s="5" t="n">
        <v>1</v>
      </c>
      <c r="B68" s="6" t="s">
        <v>138</v>
      </c>
      <c r="C68" s="7" t="s">
        <v>139</v>
      </c>
      <c r="D68" s="8" t="s">
        <v>134</v>
      </c>
      <c r="E68" s="9"/>
      <c r="F68" s="10" t="n">
        <f aca="false">IF($E68="",$N68,MAX($N68,INDEX($N$6:$N$225,MATCH($E68,$B$6:$B$225,0))))</f>
        <v>70</v>
      </c>
      <c r="G68" s="7" t="str">
        <f aca="false">IF($E68="",VLOOKUP($D68,Категории!$A$5:$C$17,3,FALSE()),"п. 21 — по пом. "&amp;$E68)</f>
        <v>по аналогии с п. 26</v>
      </c>
      <c r="H68" s="5" t="n">
        <f aca="false">MAX($F68+15,65)</f>
        <v>85</v>
      </c>
      <c r="I68" s="7" t="s">
        <v>140</v>
      </c>
      <c r="J68" s="7" t="s">
        <v>21</v>
      </c>
      <c r="K68" s="11" t="s">
        <v>22</v>
      </c>
      <c r="L68" s="7" t="str">
        <f aca="false">IF($K68="Звуковой","не требуется (звуковой способ)",IF($F68&lt;=65,"упрощённая оценка (п. 6.11.3)","нужен расчёт (прил. В / ПО изготовителя)"))</f>
        <v>нужен расчёт (прил. В / ПО изготовителя)</v>
      </c>
      <c r="M68" s="7"/>
      <c r="N68" s="12" t="n">
        <f aca="false">VLOOKUP($D68,Категории!$A$5:$C$17,2,FALSE())</f>
        <v>70</v>
      </c>
    </row>
    <row r="69" customFormat="false" ht="15" hidden="false" customHeight="false" outlineLevel="0" collapsed="false">
      <c r="A69" s="5" t="n">
        <v>1</v>
      </c>
      <c r="B69" s="6" t="s">
        <v>141</v>
      </c>
      <c r="C69" s="7" t="s">
        <v>57</v>
      </c>
      <c r="D69" s="8" t="s">
        <v>58</v>
      </c>
      <c r="E69" s="9"/>
      <c r="F69" s="10" t="n">
        <f aca="false">IF($E69="",$N69,MAX($N69,INDEX($N$6:$N$225,MATCH($E69,$B$6:$B$225,0))))</f>
        <v>60</v>
      </c>
      <c r="G69" s="7" t="str">
        <f aca="false">IF($E69="",VLOOKUP($D69,Категории!$A$5:$C$17,3,FALSE()),"п. 21 — по пом. "&amp;$E69)</f>
        <v>п. 6</v>
      </c>
      <c r="H69" s="5" t="n">
        <f aca="false">MAX($F69+15,65)</f>
        <v>75</v>
      </c>
      <c r="I69" s="7" t="s">
        <v>20</v>
      </c>
      <c r="J69" s="7" t="s">
        <v>21</v>
      </c>
      <c r="K69" s="11" t="s">
        <v>22</v>
      </c>
      <c r="L69" s="7" t="str">
        <f aca="false">IF($K69="Звуковой","не требуется (звуковой способ)",IF($F69&lt;=65,"упрощённая оценка (п. 6.11.3)","нужен расчёт (прил. В / ПО изготовителя)"))</f>
        <v>упрощённая оценка (п. 6.11.3)</v>
      </c>
      <c r="M69" s="7"/>
      <c r="N69" s="12" t="n">
        <f aca="false">VLOOKUP($D69,Категории!$A$5:$C$17,2,FALSE())</f>
        <v>60</v>
      </c>
    </row>
    <row r="70" customFormat="false" ht="15" hidden="false" customHeight="false" outlineLevel="0" collapsed="false">
      <c r="A70" s="5" t="n">
        <v>1</v>
      </c>
      <c r="B70" s="6" t="s">
        <v>103</v>
      </c>
      <c r="C70" s="7" t="s">
        <v>142</v>
      </c>
      <c r="D70" s="8" t="s">
        <v>143</v>
      </c>
      <c r="E70" s="9"/>
      <c r="F70" s="10" t="n">
        <f aca="false">IF($E70="",$N70,MAX($N70,INDEX($N$6:$N$225,MATCH($E70,$B$6:$B$225,0))))</f>
        <v>65</v>
      </c>
      <c r="G70" s="7" t="str">
        <f aca="false">IF($E70="",VLOOKUP($D70,Категории!$A$5:$C$17,3,FALSE()),"п. 21 — по пом. "&amp;$E70)</f>
        <v>п. 12</v>
      </c>
      <c r="H70" s="5" t="n">
        <f aca="false">MAX($F70+15,65)</f>
        <v>80</v>
      </c>
      <c r="I70" s="7" t="s">
        <v>20</v>
      </c>
      <c r="J70" s="7" t="s">
        <v>21</v>
      </c>
      <c r="K70" s="11" t="s">
        <v>22</v>
      </c>
      <c r="L70" s="7" t="str">
        <f aca="false">IF($K70="Звуковой","не требуется (звуковой способ)",IF($F70&lt;=65,"упрощённая оценка (п. 6.11.3)","нужен расчёт (прил. В / ПО изготовителя)"))</f>
        <v>упрощённая оценка (п. 6.11.3)</v>
      </c>
      <c r="M70" s="7"/>
      <c r="N70" s="12" t="n">
        <f aca="false">VLOOKUP($D70,Категории!$A$5:$C$17,2,FALSE())</f>
        <v>65</v>
      </c>
    </row>
    <row r="71" customFormat="false" ht="15" hidden="false" customHeight="false" outlineLevel="0" collapsed="false">
      <c r="A71" s="5" t="n">
        <v>1</v>
      </c>
      <c r="B71" s="6" t="s">
        <v>144</v>
      </c>
      <c r="C71" s="7" t="s">
        <v>43</v>
      </c>
      <c r="D71" s="8" t="s">
        <v>36</v>
      </c>
      <c r="E71" s="9"/>
      <c r="F71" s="10" t="n">
        <f aca="false">IF($E71="",$N71,MAX($N71,INDEX($N$6:$N$225,MATCH($E71,$B$6:$B$225,0))))</f>
        <v>60</v>
      </c>
      <c r="G71" s="7" t="str">
        <f aca="false">IF($E71="",VLOOKUP($D71,Категории!$A$5:$C$17,3,FALSE()),"п. 21 — по пом. "&amp;$E71)</f>
        <v>п. 21</v>
      </c>
      <c r="H71" s="5" t="n">
        <f aca="false">MAX($F71+15,65)</f>
        <v>75</v>
      </c>
      <c r="I71" s="7" t="s">
        <v>20</v>
      </c>
      <c r="J71" s="7" t="s">
        <v>21</v>
      </c>
      <c r="K71" s="11" t="s">
        <v>22</v>
      </c>
      <c r="L71" s="7" t="str">
        <f aca="false">IF($K71="Звуковой","не требуется (звуковой способ)",IF($F71&lt;=65,"упрощённая оценка (п. 6.11.3)","нужен расчёт (прил. В / ПО изготовителя)"))</f>
        <v>упрощённая оценка (п. 6.11.3)</v>
      </c>
      <c r="M71" s="7"/>
      <c r="N71" s="12" t="n">
        <f aca="false">VLOOKUP($D71,Категории!$A$5:$C$17,2,FALSE())</f>
        <v>60</v>
      </c>
    </row>
    <row r="72" customFormat="false" ht="15" hidden="false" customHeight="false" outlineLevel="0" collapsed="false">
      <c r="A72" s="5" t="n">
        <v>1</v>
      </c>
      <c r="B72" s="6" t="s">
        <v>145</v>
      </c>
      <c r="C72" s="7" t="s">
        <v>57</v>
      </c>
      <c r="D72" s="8" t="s">
        <v>58</v>
      </c>
      <c r="E72" s="9"/>
      <c r="F72" s="10" t="n">
        <f aca="false">IF($E72="",$N72,MAX($N72,INDEX($N$6:$N$225,MATCH($E72,$B$6:$B$225,0))))</f>
        <v>60</v>
      </c>
      <c r="G72" s="7" t="str">
        <f aca="false">IF($E72="",VLOOKUP($D72,Категории!$A$5:$C$17,3,FALSE()),"п. 21 — по пом. "&amp;$E72)</f>
        <v>п. 6</v>
      </c>
      <c r="H72" s="5" t="n">
        <f aca="false">MAX($F72+15,65)</f>
        <v>75</v>
      </c>
      <c r="I72" s="7" t="s">
        <v>20</v>
      </c>
      <c r="J72" s="7" t="s">
        <v>21</v>
      </c>
      <c r="K72" s="11" t="s">
        <v>22</v>
      </c>
      <c r="L72" s="7" t="str">
        <f aca="false">IF($K72="Звуковой","не требуется (звуковой способ)",IF($F72&lt;=65,"упрощённая оценка (п. 6.11.3)","нужен расчёт (прил. В / ПО изготовителя)"))</f>
        <v>упрощённая оценка (п. 6.11.3)</v>
      </c>
      <c r="M72" s="7"/>
      <c r="N72" s="12" t="n">
        <f aca="false">VLOOKUP($D72,Категории!$A$5:$C$17,2,FALSE())</f>
        <v>60</v>
      </c>
    </row>
    <row r="73" customFormat="false" ht="15" hidden="false" customHeight="false" outlineLevel="0" collapsed="false">
      <c r="A73" s="5" t="n">
        <v>1</v>
      </c>
      <c r="B73" s="6" t="s">
        <v>146</v>
      </c>
      <c r="C73" s="7" t="s">
        <v>35</v>
      </c>
      <c r="D73" s="8" t="s">
        <v>36</v>
      </c>
      <c r="E73" s="9"/>
      <c r="F73" s="10" t="n">
        <f aca="false">IF($E73="",$N73,MAX($N73,INDEX($N$6:$N$225,MATCH($E73,$B$6:$B$225,0))))</f>
        <v>60</v>
      </c>
      <c r="G73" s="7" t="str">
        <f aca="false">IF($E73="",VLOOKUP($D73,Категории!$A$5:$C$17,3,FALSE()),"п. 21 — по пом. "&amp;$E73)</f>
        <v>п. 21</v>
      </c>
      <c r="H73" s="5" t="n">
        <f aca="false">MAX($F73+15,65)</f>
        <v>75</v>
      </c>
      <c r="I73" s="7" t="s">
        <v>20</v>
      </c>
      <c r="J73" s="7" t="s">
        <v>21</v>
      </c>
      <c r="K73" s="11" t="s">
        <v>22</v>
      </c>
      <c r="L73" s="7" t="str">
        <f aca="false">IF($K73="Звуковой","не требуется (звуковой способ)",IF($F73&lt;=65,"упрощённая оценка (п. 6.11.3)","нужен расчёт (прил. В / ПО изготовителя)"))</f>
        <v>упрощённая оценка (п. 6.11.3)</v>
      </c>
      <c r="M73" s="7"/>
      <c r="N73" s="12" t="n">
        <f aca="false">VLOOKUP($D73,Категории!$A$5:$C$17,2,FALSE())</f>
        <v>60</v>
      </c>
    </row>
    <row r="74" customFormat="false" ht="35.05" hidden="false" customHeight="false" outlineLevel="0" collapsed="false">
      <c r="A74" s="5" t="n">
        <v>1</v>
      </c>
      <c r="B74" s="6" t="s">
        <v>147</v>
      </c>
      <c r="C74" s="7" t="s">
        <v>45</v>
      </c>
      <c r="D74" s="8" t="s">
        <v>46</v>
      </c>
      <c r="E74" s="9"/>
      <c r="F74" s="10" t="n">
        <f aca="false">IF($E74="",$N74,MAX($N74,INDEX($N$6:$N$225,MATCH($E74,$B$6:$B$225,0))))</f>
        <v>60</v>
      </c>
      <c r="G74" s="7" t="str">
        <f aca="false">IF($E74="",VLOOKUP($D74,Категории!$A$5:$C$17,3,FALSE()),"п. 21 — по пом. "&amp;$E74)</f>
        <v>по аналогии с п. 6</v>
      </c>
      <c r="H74" s="5" t="n">
        <f aca="false">MAX($F74+15,65)</f>
        <v>75</v>
      </c>
      <c r="I74" s="13" t="s">
        <v>47</v>
      </c>
      <c r="J74" s="7" t="s">
        <v>32</v>
      </c>
      <c r="K74" s="11" t="s">
        <v>22</v>
      </c>
      <c r="L74" s="7" t="str">
        <f aca="false">IF($K74="Звуковой","не требуется (звуковой способ)",IF($F74&lt;=65,"упрощённая оценка (п. 6.11.3)","нужен расчёт (прил. В / ПО изготовителя)"))</f>
        <v>упрощённая оценка (п. 6.11.3)</v>
      </c>
      <c r="M74" s="7"/>
      <c r="N74" s="12" t="n">
        <f aca="false">VLOOKUP($D74,Категории!$A$5:$C$17,2,FALSE())</f>
        <v>60</v>
      </c>
    </row>
    <row r="75" customFormat="false" ht="15" hidden="false" customHeight="false" outlineLevel="0" collapsed="false">
      <c r="A75" s="5" t="n">
        <v>1</v>
      </c>
      <c r="B75" s="6" t="s">
        <v>148</v>
      </c>
      <c r="C75" s="7" t="s">
        <v>43</v>
      </c>
      <c r="D75" s="8" t="s">
        <v>36</v>
      </c>
      <c r="E75" s="9"/>
      <c r="F75" s="10" t="n">
        <f aca="false">IF($E75="",$N75,MAX($N75,INDEX($N$6:$N$225,MATCH($E75,$B$6:$B$225,0))))</f>
        <v>60</v>
      </c>
      <c r="G75" s="7" t="str">
        <f aca="false">IF($E75="",VLOOKUP($D75,Категории!$A$5:$C$17,3,FALSE()),"п. 21 — по пом. "&amp;$E75)</f>
        <v>п. 21</v>
      </c>
      <c r="H75" s="5" t="n">
        <f aca="false">MAX($F75+15,65)</f>
        <v>75</v>
      </c>
      <c r="I75" s="7" t="s">
        <v>20</v>
      </c>
      <c r="J75" s="7" t="s">
        <v>21</v>
      </c>
      <c r="K75" s="11" t="s">
        <v>22</v>
      </c>
      <c r="L75" s="7" t="str">
        <f aca="false">IF($K75="Звуковой","не требуется (звуковой способ)",IF($F75&lt;=65,"упрощённая оценка (п. 6.11.3)","нужен расчёт (прил. В / ПО изготовителя)"))</f>
        <v>упрощённая оценка (п. 6.11.3)</v>
      </c>
      <c r="M75" s="7"/>
      <c r="N75" s="12" t="n">
        <f aca="false">VLOOKUP($D75,Категории!$A$5:$C$17,2,FALSE())</f>
        <v>60</v>
      </c>
    </row>
    <row r="76" customFormat="false" ht="15" hidden="false" customHeight="false" outlineLevel="0" collapsed="false">
      <c r="A76" s="5" t="n">
        <v>1</v>
      </c>
      <c r="B76" s="6" t="s">
        <v>149</v>
      </c>
      <c r="C76" s="7" t="s">
        <v>57</v>
      </c>
      <c r="D76" s="8" t="s">
        <v>58</v>
      </c>
      <c r="E76" s="9"/>
      <c r="F76" s="10" t="n">
        <f aca="false">IF($E76="",$N76,MAX($N76,INDEX($N$6:$N$225,MATCH($E76,$B$6:$B$225,0))))</f>
        <v>60</v>
      </c>
      <c r="G76" s="7" t="str">
        <f aca="false">IF($E76="",VLOOKUP($D76,Категории!$A$5:$C$17,3,FALSE()),"п. 21 — по пом. "&amp;$E76)</f>
        <v>п. 6</v>
      </c>
      <c r="H76" s="5" t="n">
        <f aca="false">MAX($F76+15,65)</f>
        <v>75</v>
      </c>
      <c r="I76" s="7" t="s">
        <v>20</v>
      </c>
      <c r="J76" s="7" t="s">
        <v>21</v>
      </c>
      <c r="K76" s="11" t="s">
        <v>22</v>
      </c>
      <c r="L76" s="7" t="str">
        <f aca="false">IF($K76="Звуковой","не требуется (звуковой способ)",IF($F76&lt;=65,"упрощённая оценка (п. 6.11.3)","нужен расчёт (прил. В / ПО изготовителя)"))</f>
        <v>упрощённая оценка (п. 6.11.3)</v>
      </c>
      <c r="M76" s="7"/>
      <c r="N76" s="12" t="n">
        <f aca="false">VLOOKUP($D76,Категории!$A$5:$C$17,2,FALSE())</f>
        <v>60</v>
      </c>
    </row>
    <row r="77" customFormat="false" ht="15" hidden="false" customHeight="false" outlineLevel="0" collapsed="false">
      <c r="A77" s="5" t="n">
        <v>1</v>
      </c>
      <c r="B77" s="6" t="s">
        <v>150</v>
      </c>
      <c r="C77" s="7" t="s">
        <v>61</v>
      </c>
      <c r="D77" s="8" t="s">
        <v>58</v>
      </c>
      <c r="E77" s="9"/>
      <c r="F77" s="10" t="n">
        <f aca="false">IF($E77="",$N77,MAX($N77,INDEX($N$6:$N$225,MATCH($E77,$B$6:$B$225,0))))</f>
        <v>60</v>
      </c>
      <c r="G77" s="7" t="str">
        <f aca="false">IF($E77="",VLOOKUP($D77,Категории!$A$5:$C$17,3,FALSE()),"п. 21 — по пом. "&amp;$E77)</f>
        <v>п. 6</v>
      </c>
      <c r="H77" s="5" t="n">
        <f aca="false">MAX($F77+15,65)</f>
        <v>75</v>
      </c>
      <c r="I77" s="7" t="s">
        <v>20</v>
      </c>
      <c r="J77" s="7" t="s">
        <v>21</v>
      </c>
      <c r="K77" s="11" t="s">
        <v>22</v>
      </c>
      <c r="L77" s="7" t="str">
        <f aca="false">IF($K77="Звуковой","не требуется (звуковой способ)",IF($F77&lt;=65,"упрощённая оценка (п. 6.11.3)","нужен расчёт (прил. В / ПО изготовителя)"))</f>
        <v>упрощённая оценка (п. 6.11.3)</v>
      </c>
      <c r="M77" s="7"/>
      <c r="N77" s="12" t="n">
        <f aca="false">VLOOKUP($D77,Категории!$A$5:$C$17,2,FALSE())</f>
        <v>60</v>
      </c>
    </row>
    <row r="78" customFormat="false" ht="35.05" hidden="false" customHeight="false" outlineLevel="0" collapsed="false">
      <c r="A78" s="5" t="n">
        <v>1</v>
      </c>
      <c r="B78" s="6" t="s">
        <v>151</v>
      </c>
      <c r="C78" s="7" t="s">
        <v>152</v>
      </c>
      <c r="D78" s="8" t="s">
        <v>30</v>
      </c>
      <c r="E78" s="9"/>
      <c r="F78" s="10" t="n">
        <f aca="false">IF($E78="",$N78,MAX($N78,INDEX($N$6:$N$225,MATCH($E78,$B$6:$B$225,0))))</f>
        <v>80</v>
      </c>
      <c r="G78" s="7" t="str">
        <f aca="false">IF($E78="",VLOOKUP($D78,Категории!$A$5:$C$17,3,FALSE()),"п. 21 — по пом. "&amp;$E78)</f>
        <v>по аналогии с п. 4</v>
      </c>
      <c r="H78" s="5" t="n">
        <f aca="false">MAX($F78+15,65)</f>
        <v>95</v>
      </c>
      <c r="I78" s="13" t="s">
        <v>31</v>
      </c>
      <c r="J78" s="7" t="s">
        <v>32</v>
      </c>
      <c r="K78" s="11" t="s">
        <v>22</v>
      </c>
      <c r="L78" s="7" t="str">
        <f aca="false">IF($K78="Звуковой","не требуется (звуковой способ)",IF($F78&lt;=65,"упрощённая оценка (п. 6.11.3)","нужен расчёт (прил. В / ПО изготовителя)"))</f>
        <v>нужен расчёт (прил. В / ПО изготовителя)</v>
      </c>
      <c r="M78" s="7" t="s">
        <v>33</v>
      </c>
      <c r="N78" s="12" t="n">
        <f aca="false">VLOOKUP($D78,Категории!$A$5:$C$17,2,FALSE())</f>
        <v>80</v>
      </c>
    </row>
    <row r="79" customFormat="false" ht="23.85" hidden="false" customHeight="false" outlineLevel="0" collapsed="false">
      <c r="A79" s="5" t="n">
        <v>1</v>
      </c>
      <c r="B79" s="6" t="s">
        <v>153</v>
      </c>
      <c r="C79" s="7" t="s">
        <v>35</v>
      </c>
      <c r="D79" s="8" t="s">
        <v>36</v>
      </c>
      <c r="E79" s="9" t="s">
        <v>151</v>
      </c>
      <c r="F79" s="10" t="n">
        <f aca="false">IF($E79="",$N79,MAX($N79,INDEX($N$6:$N$225,MATCH($E79,$B$6:$B$225,0))))</f>
        <v>80</v>
      </c>
      <c r="G79" s="7" t="str">
        <f aca="false">IF($E79="",VLOOKUP($D79,Категории!$A$5:$C$17,3,FALSE()),"п. 21 — по пом. "&amp;$E79)</f>
        <v>п. 21 — по пом. 74</v>
      </c>
      <c r="H79" s="5" t="n">
        <f aca="false">MAX($F79+15,65)</f>
        <v>95</v>
      </c>
      <c r="I79" s="7" t="s">
        <v>20</v>
      </c>
      <c r="J79" s="7" t="s">
        <v>21</v>
      </c>
      <c r="K79" s="11" t="s">
        <v>22</v>
      </c>
      <c r="L79" s="7" t="str">
        <f aca="false">IF($K79="Звуковой","не требуется (звуковой способ)",IF($F79&lt;=65,"упрощённая оценка (п. 6.11.3)","нужен расчёт (прил. В / ПО изготовителя)"))</f>
        <v>нужен расчёт (прил. В / ПО изготовителя)</v>
      </c>
      <c r="M79" s="7" t="s">
        <v>154</v>
      </c>
      <c r="N79" s="12" t="n">
        <f aca="false">VLOOKUP($D79,Категории!$A$5:$C$17,2,FALSE())</f>
        <v>60</v>
      </c>
    </row>
    <row r="80" customFormat="false" ht="35.05" hidden="false" customHeight="false" outlineLevel="0" collapsed="false">
      <c r="A80" s="5" t="n">
        <v>1</v>
      </c>
      <c r="B80" s="6" t="s">
        <v>155</v>
      </c>
      <c r="C80" s="7" t="s">
        <v>156</v>
      </c>
      <c r="D80" s="8" t="s">
        <v>46</v>
      </c>
      <c r="E80" s="9"/>
      <c r="F80" s="10" t="n">
        <f aca="false">IF($E80="",$N80,MAX($N80,INDEX($N$6:$N$225,MATCH($E80,$B$6:$B$225,0))))</f>
        <v>60</v>
      </c>
      <c r="G80" s="7" t="str">
        <f aca="false">IF($E80="",VLOOKUP($D80,Категории!$A$5:$C$17,3,FALSE()),"п. 21 — по пом. "&amp;$E80)</f>
        <v>по аналогии с п. 6</v>
      </c>
      <c r="H80" s="5" t="n">
        <f aca="false">MAX($F80+15,65)</f>
        <v>75</v>
      </c>
      <c r="I80" s="13" t="s">
        <v>132</v>
      </c>
      <c r="J80" s="7" t="s">
        <v>32</v>
      </c>
      <c r="K80" s="11" t="s">
        <v>22</v>
      </c>
      <c r="L80" s="7" t="str">
        <f aca="false">IF($K80="Звуковой","не требуется (звуковой способ)",IF($F80&lt;=65,"упрощённая оценка (п. 6.11.3)","нужен расчёт (прил. В / ПО изготовителя)"))</f>
        <v>упрощённая оценка (п. 6.11.3)</v>
      </c>
      <c r="M80" s="7"/>
      <c r="N80" s="12" t="n">
        <f aca="false">VLOOKUP($D80,Категории!$A$5:$C$17,2,FALSE())</f>
        <v>60</v>
      </c>
    </row>
    <row r="81" customFormat="false" ht="15" hidden="false" customHeight="false" outlineLevel="0" collapsed="false">
      <c r="A81" s="5" t="n">
        <v>1</v>
      </c>
      <c r="B81" s="6" t="s">
        <v>157</v>
      </c>
      <c r="C81" s="7" t="s">
        <v>158</v>
      </c>
      <c r="D81" s="8" t="s">
        <v>58</v>
      </c>
      <c r="E81" s="9"/>
      <c r="F81" s="10" t="n">
        <f aca="false">IF($E81="",$N81,MAX($N81,INDEX($N$6:$N$225,MATCH($E81,$B$6:$B$225,0))))</f>
        <v>60</v>
      </c>
      <c r="G81" s="7" t="str">
        <f aca="false">IF($E81="",VLOOKUP($D81,Категории!$A$5:$C$17,3,FALSE()),"п. 21 — по пом. "&amp;$E81)</f>
        <v>п. 6</v>
      </c>
      <c r="H81" s="5" t="n">
        <f aca="false">MAX($F81+15,65)</f>
        <v>75</v>
      </c>
      <c r="I81" s="7" t="s">
        <v>20</v>
      </c>
      <c r="J81" s="7" t="s">
        <v>21</v>
      </c>
      <c r="K81" s="11" t="s">
        <v>22</v>
      </c>
      <c r="L81" s="7" t="str">
        <f aca="false">IF($K81="Звуковой","не требуется (звуковой способ)",IF($F81&lt;=65,"упрощённая оценка (п. 6.11.3)","нужен расчёт (прил. В / ПО изготовителя)"))</f>
        <v>упрощённая оценка (п. 6.11.3)</v>
      </c>
      <c r="M81" s="7"/>
      <c r="N81" s="12" t="n">
        <f aca="false">VLOOKUP($D81,Категории!$A$5:$C$17,2,FALSE())</f>
        <v>60</v>
      </c>
    </row>
    <row r="82" customFormat="false" ht="15" hidden="false" customHeight="false" outlineLevel="0" collapsed="false">
      <c r="A82" s="5" t="n">
        <v>1</v>
      </c>
      <c r="B82" s="6" t="s">
        <v>159</v>
      </c>
      <c r="C82" s="7" t="s">
        <v>61</v>
      </c>
      <c r="D82" s="8" t="s">
        <v>58</v>
      </c>
      <c r="E82" s="9"/>
      <c r="F82" s="10" t="n">
        <f aca="false">IF($E82="",$N82,MAX($N82,INDEX($N$6:$N$225,MATCH($E82,$B$6:$B$225,0))))</f>
        <v>60</v>
      </c>
      <c r="G82" s="7" t="str">
        <f aca="false">IF($E82="",VLOOKUP($D82,Категории!$A$5:$C$17,3,FALSE()),"п. 21 — по пом. "&amp;$E82)</f>
        <v>п. 6</v>
      </c>
      <c r="H82" s="5" t="n">
        <f aca="false">MAX($F82+15,65)</f>
        <v>75</v>
      </c>
      <c r="I82" s="7" t="s">
        <v>20</v>
      </c>
      <c r="J82" s="7" t="s">
        <v>21</v>
      </c>
      <c r="K82" s="11" t="s">
        <v>22</v>
      </c>
      <c r="L82" s="7" t="str">
        <f aca="false">IF($K82="Звуковой","не требуется (звуковой способ)",IF($F82&lt;=65,"упрощённая оценка (п. 6.11.3)","нужен расчёт (прил. В / ПО изготовителя)"))</f>
        <v>упрощённая оценка (п. 6.11.3)</v>
      </c>
      <c r="M82" s="7"/>
      <c r="N82" s="12" t="n">
        <f aca="false">VLOOKUP($D82,Категории!$A$5:$C$17,2,FALSE())</f>
        <v>60</v>
      </c>
    </row>
    <row r="83" customFormat="false" ht="23.85" hidden="false" customHeight="false" outlineLevel="0" collapsed="false">
      <c r="A83" s="5" t="n">
        <v>1</v>
      </c>
      <c r="B83" s="6" t="s">
        <v>160</v>
      </c>
      <c r="C83" s="7" t="s">
        <v>35</v>
      </c>
      <c r="D83" s="8" t="s">
        <v>36</v>
      </c>
      <c r="E83" s="9" t="s">
        <v>151</v>
      </c>
      <c r="F83" s="10" t="n">
        <f aca="false">IF($E83="",$N83,MAX($N83,INDEX($N$6:$N$225,MATCH($E83,$B$6:$B$225,0))))</f>
        <v>80</v>
      </c>
      <c r="G83" s="7" t="str">
        <f aca="false">IF($E83="",VLOOKUP($D83,Категории!$A$5:$C$17,3,FALSE()),"п. 21 — по пом. "&amp;$E83)</f>
        <v>п. 21 — по пом. 74</v>
      </c>
      <c r="H83" s="5" t="n">
        <f aca="false">MAX($F83+15,65)</f>
        <v>95</v>
      </c>
      <c r="I83" s="7" t="s">
        <v>20</v>
      </c>
      <c r="J83" s="7" t="s">
        <v>21</v>
      </c>
      <c r="K83" s="11" t="s">
        <v>22</v>
      </c>
      <c r="L83" s="7" t="str">
        <f aca="false">IF($K83="Звуковой","не требуется (звуковой способ)",IF($F83&lt;=65,"упрощённая оценка (п. 6.11.3)","нужен расчёт (прил. В / ПО изготовителя)"))</f>
        <v>нужен расчёт (прил. В / ПО изготовителя)</v>
      </c>
      <c r="M83" s="7" t="s">
        <v>161</v>
      </c>
      <c r="N83" s="12" t="n">
        <f aca="false">VLOOKUP($D83,Категории!$A$5:$C$17,2,FALSE())</f>
        <v>60</v>
      </c>
    </row>
    <row r="84" customFormat="false" ht="35.05" hidden="false" customHeight="false" outlineLevel="0" collapsed="false">
      <c r="A84" s="5" t="n">
        <v>1</v>
      </c>
      <c r="B84" s="6" t="s">
        <v>162</v>
      </c>
      <c r="C84" s="7" t="s">
        <v>45</v>
      </c>
      <c r="D84" s="8" t="s">
        <v>46</v>
      </c>
      <c r="E84" s="9"/>
      <c r="F84" s="10" t="n">
        <f aca="false">IF($E84="",$N84,MAX($N84,INDEX($N$6:$N$225,MATCH($E84,$B$6:$B$225,0))))</f>
        <v>60</v>
      </c>
      <c r="G84" s="7" t="str">
        <f aca="false">IF($E84="",VLOOKUP($D84,Категории!$A$5:$C$17,3,FALSE()),"п. 21 — по пом. "&amp;$E84)</f>
        <v>по аналогии с п. 6</v>
      </c>
      <c r="H84" s="5" t="n">
        <f aca="false">MAX($F84+15,65)</f>
        <v>75</v>
      </c>
      <c r="I84" s="13" t="s">
        <v>47</v>
      </c>
      <c r="J84" s="7" t="s">
        <v>32</v>
      </c>
      <c r="K84" s="11" t="s">
        <v>22</v>
      </c>
      <c r="L84" s="7" t="str">
        <f aca="false">IF($K84="Звуковой","не требуется (звуковой способ)",IF($F84&lt;=65,"упрощённая оценка (п. 6.11.3)","нужен расчёт (прил. В / ПО изготовителя)"))</f>
        <v>упрощённая оценка (п. 6.11.3)</v>
      </c>
      <c r="M84" s="7"/>
      <c r="N84" s="12" t="n">
        <f aca="false">VLOOKUP($D84,Категории!$A$5:$C$17,2,FALSE())</f>
        <v>60</v>
      </c>
    </row>
    <row r="85" customFormat="false" ht="23.85" hidden="false" customHeight="false" outlineLevel="0" collapsed="false">
      <c r="A85" s="5" t="n">
        <v>1</v>
      </c>
      <c r="B85" s="6" t="s">
        <v>163</v>
      </c>
      <c r="C85" s="7" t="s">
        <v>35</v>
      </c>
      <c r="D85" s="8" t="s">
        <v>36</v>
      </c>
      <c r="E85" s="9" t="s">
        <v>151</v>
      </c>
      <c r="F85" s="10" t="n">
        <f aca="false">IF($E85="",$N85,MAX($N85,INDEX($N$6:$N$225,MATCH($E85,$B$6:$B$225,0))))</f>
        <v>80</v>
      </c>
      <c r="G85" s="7" t="str">
        <f aca="false">IF($E85="",VLOOKUP($D85,Категории!$A$5:$C$17,3,FALSE()),"п. 21 — по пом. "&amp;$E85)</f>
        <v>п. 21 — по пом. 74</v>
      </c>
      <c r="H85" s="5" t="n">
        <f aca="false">MAX($F85+15,65)</f>
        <v>95</v>
      </c>
      <c r="I85" s="7" t="s">
        <v>20</v>
      </c>
      <c r="J85" s="7" t="s">
        <v>21</v>
      </c>
      <c r="K85" s="11" t="s">
        <v>22</v>
      </c>
      <c r="L85" s="7" t="str">
        <f aca="false">IF($K85="Звуковой","не требуется (звуковой способ)",IF($F85&lt;=65,"упрощённая оценка (п. 6.11.3)","нужен расчёт (прил. В / ПО изготовителя)"))</f>
        <v>нужен расчёт (прил. В / ПО изготовителя)</v>
      </c>
      <c r="M85" s="7" t="s">
        <v>161</v>
      </c>
      <c r="N85" s="12" t="n">
        <f aca="false">VLOOKUP($D85,Категории!$A$5:$C$17,2,FALSE())</f>
        <v>60</v>
      </c>
    </row>
    <row r="86" customFormat="false" ht="23.85" hidden="false" customHeight="false" outlineLevel="0" collapsed="false">
      <c r="A86" s="5" t="n">
        <v>1</v>
      </c>
      <c r="B86" s="6" t="s">
        <v>164</v>
      </c>
      <c r="C86" s="7" t="s">
        <v>109</v>
      </c>
      <c r="D86" s="8" t="s">
        <v>110</v>
      </c>
      <c r="E86" s="9"/>
      <c r="F86" s="10" t="n">
        <f aca="false">IF($E86="",$N86,MAX($N86,INDEX($N$6:$N$225,MATCH($E86,$B$6:$B$225,0))))</f>
        <v>55</v>
      </c>
      <c r="G86" s="7" t="str">
        <f aca="false">IF($E86="",VLOOKUP($D86,Категории!$A$5:$C$17,3,FALSE()),"п. 21 — по пом. "&amp;$E86)</f>
        <v>п. 28</v>
      </c>
      <c r="H86" s="5" t="n">
        <f aca="false">MAX($F86+15,65)</f>
        <v>70</v>
      </c>
      <c r="I86" s="7" t="s">
        <v>111</v>
      </c>
      <c r="J86" s="7" t="s">
        <v>21</v>
      </c>
      <c r="K86" s="11" t="s">
        <v>22</v>
      </c>
      <c r="L86" s="7" t="str">
        <f aca="false">IF($K86="Звуковой","не требуется (звуковой способ)",IF($F86&lt;=65,"упрощённая оценка (п. 6.11.3)","нужен расчёт (прил. В / ПО изготовителя)"))</f>
        <v>упрощённая оценка (п. 6.11.3)</v>
      </c>
      <c r="M86" s="7"/>
      <c r="N86" s="12" t="n">
        <f aca="false">VLOOKUP($D86,Категории!$A$5:$C$17,2,FALSE())</f>
        <v>55</v>
      </c>
    </row>
    <row r="87" customFormat="false" ht="15" hidden="false" customHeight="false" outlineLevel="0" collapsed="false">
      <c r="A87" s="5" t="n">
        <v>1</v>
      </c>
      <c r="B87" s="6" t="s">
        <v>165</v>
      </c>
      <c r="C87" s="7" t="s">
        <v>35</v>
      </c>
      <c r="D87" s="8" t="s">
        <v>36</v>
      </c>
      <c r="E87" s="9"/>
      <c r="F87" s="10" t="n">
        <f aca="false">IF($E87="",$N87,MAX($N87,INDEX($N$6:$N$225,MATCH($E87,$B$6:$B$225,0))))</f>
        <v>60</v>
      </c>
      <c r="G87" s="7" t="str">
        <f aca="false">IF($E87="",VLOOKUP($D87,Категории!$A$5:$C$17,3,FALSE()),"п. 21 — по пом. "&amp;$E87)</f>
        <v>п. 21</v>
      </c>
      <c r="H87" s="5" t="n">
        <f aca="false">MAX($F87+15,65)</f>
        <v>75</v>
      </c>
      <c r="I87" s="7" t="s">
        <v>20</v>
      </c>
      <c r="J87" s="7" t="s">
        <v>21</v>
      </c>
      <c r="K87" s="11" t="s">
        <v>22</v>
      </c>
      <c r="L87" s="7" t="str">
        <f aca="false">IF($K87="Звуковой","не требуется (звуковой способ)",IF($F87&lt;=65,"упрощённая оценка (п. 6.11.3)","нужен расчёт (прил. В / ПО изготовителя)"))</f>
        <v>упрощённая оценка (п. 6.11.3)</v>
      </c>
      <c r="M87" s="7"/>
      <c r="N87" s="12" t="n">
        <f aca="false">VLOOKUP($D87,Категории!$A$5:$C$17,2,FALSE())</f>
        <v>60</v>
      </c>
    </row>
    <row r="88" customFormat="false" ht="23.85" hidden="false" customHeight="false" outlineLevel="0" collapsed="false">
      <c r="A88" s="5" t="n">
        <v>1</v>
      </c>
      <c r="B88" s="6" t="s">
        <v>166</v>
      </c>
      <c r="C88" s="7" t="s">
        <v>35</v>
      </c>
      <c r="D88" s="8" t="s">
        <v>36</v>
      </c>
      <c r="E88" s="9" t="s">
        <v>151</v>
      </c>
      <c r="F88" s="10" t="n">
        <f aca="false">IF($E88="",$N88,MAX($N88,INDEX($N$6:$N$225,MATCH($E88,$B$6:$B$225,0))))</f>
        <v>80</v>
      </c>
      <c r="G88" s="7" t="str">
        <f aca="false">IF($E88="",VLOOKUP($D88,Категории!$A$5:$C$17,3,FALSE()),"п. 21 — по пом. "&amp;$E88)</f>
        <v>п. 21 — по пом. 74</v>
      </c>
      <c r="H88" s="5" t="n">
        <f aca="false">MAX($F88+15,65)</f>
        <v>95</v>
      </c>
      <c r="I88" s="7" t="s">
        <v>20</v>
      </c>
      <c r="J88" s="7" t="s">
        <v>21</v>
      </c>
      <c r="K88" s="11" t="s">
        <v>22</v>
      </c>
      <c r="L88" s="7" t="str">
        <f aca="false">IF($K88="Звуковой","не требуется (звуковой способ)",IF($F88&lt;=65,"упрощённая оценка (п. 6.11.3)","нужен расчёт (прил. В / ПО изготовителя)"))</f>
        <v>нужен расчёт (прил. В / ПО изготовителя)</v>
      </c>
      <c r="M88" s="7" t="s">
        <v>161</v>
      </c>
      <c r="N88" s="12" t="n">
        <f aca="false">VLOOKUP($D88,Категории!$A$5:$C$17,2,FALSE())</f>
        <v>60</v>
      </c>
    </row>
    <row r="89" customFormat="false" ht="23.85" hidden="false" customHeight="false" outlineLevel="0" collapsed="false">
      <c r="A89" s="5" t="n">
        <v>1</v>
      </c>
      <c r="B89" s="6" t="s">
        <v>167</v>
      </c>
      <c r="C89" s="7" t="s">
        <v>35</v>
      </c>
      <c r="D89" s="8" t="s">
        <v>36</v>
      </c>
      <c r="E89" s="9" t="s">
        <v>151</v>
      </c>
      <c r="F89" s="10" t="n">
        <f aca="false">IF($E89="",$N89,MAX($N89,INDEX($N$6:$N$225,MATCH($E89,$B$6:$B$225,0))))</f>
        <v>80</v>
      </c>
      <c r="G89" s="7" t="str">
        <f aca="false">IF($E89="",VLOOKUP($D89,Категории!$A$5:$C$17,3,FALSE()),"п. 21 — по пом. "&amp;$E89)</f>
        <v>п. 21 — по пом. 74</v>
      </c>
      <c r="H89" s="5" t="n">
        <f aca="false">MAX($F89+15,65)</f>
        <v>95</v>
      </c>
      <c r="I89" s="7" t="s">
        <v>20</v>
      </c>
      <c r="J89" s="7" t="s">
        <v>21</v>
      </c>
      <c r="K89" s="11" t="s">
        <v>22</v>
      </c>
      <c r="L89" s="7" t="str">
        <f aca="false">IF($K89="Звуковой","не требуется (звуковой способ)",IF($F89&lt;=65,"упрощённая оценка (п. 6.11.3)","нужен расчёт (прил. В / ПО изготовителя)"))</f>
        <v>нужен расчёт (прил. В / ПО изготовителя)</v>
      </c>
      <c r="M89" s="7" t="s">
        <v>161</v>
      </c>
      <c r="N89" s="12" t="n">
        <f aca="false">VLOOKUP($D89,Категории!$A$5:$C$17,2,FALSE())</f>
        <v>60</v>
      </c>
    </row>
    <row r="90" customFormat="false" ht="23.85" hidden="false" customHeight="false" outlineLevel="0" collapsed="false">
      <c r="A90" s="5" t="n">
        <v>2</v>
      </c>
      <c r="B90" s="6" t="s">
        <v>168</v>
      </c>
      <c r="C90" s="7" t="s">
        <v>87</v>
      </c>
      <c r="D90" s="8" t="s">
        <v>19</v>
      </c>
      <c r="E90" s="9"/>
      <c r="F90" s="10" t="n">
        <f aca="false">IF($E90="",$N90,MAX($N90,INDEX($N$6:$N$225,MATCH($E90,$B$6:$B$225,0))))</f>
        <v>65</v>
      </c>
      <c r="G90" s="7" t="str">
        <f aca="false">IF($E90="",VLOOKUP($D90,Категории!$A$5:$C$17,3,FALSE()),"п. 21 — по пом. "&amp;$E90)</f>
        <v>п. 18 (тир, раздевалки — по аналогии)</v>
      </c>
      <c r="H90" s="5" t="n">
        <f aca="false">MAX($F90+15,65)</f>
        <v>80</v>
      </c>
      <c r="I90" s="7" t="s">
        <v>20</v>
      </c>
      <c r="J90" s="7" t="s">
        <v>21</v>
      </c>
      <c r="K90" s="11" t="s">
        <v>22</v>
      </c>
      <c r="L90" s="7" t="str">
        <f aca="false">IF($K90="Звуковой","не требуется (звуковой способ)",IF($F90&lt;=65,"упрощённая оценка (п. 6.11.3)","нужен расчёт (прил. В / ПО изготовителя)"))</f>
        <v>упрощённая оценка (п. 6.11.3)</v>
      </c>
      <c r="M90" s="7"/>
      <c r="N90" s="12" t="n">
        <f aca="false">VLOOKUP($D90,Категории!$A$5:$C$17,2,FALSE())</f>
        <v>65</v>
      </c>
    </row>
    <row r="91" customFormat="false" ht="15" hidden="false" customHeight="false" outlineLevel="0" collapsed="false">
      <c r="A91" s="5" t="n">
        <v>2</v>
      </c>
      <c r="B91" s="6" t="s">
        <v>169</v>
      </c>
      <c r="C91" s="7" t="s">
        <v>170</v>
      </c>
      <c r="D91" s="8" t="s">
        <v>58</v>
      </c>
      <c r="E91" s="9"/>
      <c r="F91" s="10" t="n">
        <f aca="false">IF($E91="",$N91,MAX($N91,INDEX($N$6:$N$225,MATCH($E91,$B$6:$B$225,0))))</f>
        <v>60</v>
      </c>
      <c r="G91" s="7" t="str">
        <f aca="false">IF($E91="",VLOOKUP($D91,Категории!$A$5:$C$17,3,FALSE()),"п. 21 — по пом. "&amp;$E91)</f>
        <v>п. 6</v>
      </c>
      <c r="H91" s="5" t="n">
        <f aca="false">MAX($F91+15,65)</f>
        <v>75</v>
      </c>
      <c r="I91" s="7" t="s">
        <v>20</v>
      </c>
      <c r="J91" s="7" t="s">
        <v>21</v>
      </c>
      <c r="K91" s="11" t="s">
        <v>22</v>
      </c>
      <c r="L91" s="7" t="str">
        <f aca="false">IF($K91="Звуковой","не требуется (звуковой способ)",IF($F91&lt;=65,"упрощённая оценка (п. 6.11.3)","нужен расчёт (прил. В / ПО изготовителя)"))</f>
        <v>упрощённая оценка (п. 6.11.3)</v>
      </c>
      <c r="M91" s="7"/>
      <c r="N91" s="12" t="n">
        <f aca="false">VLOOKUP($D91,Категории!$A$5:$C$17,2,FALSE())</f>
        <v>60</v>
      </c>
    </row>
    <row r="92" customFormat="false" ht="15" hidden="false" customHeight="false" outlineLevel="0" collapsed="false">
      <c r="A92" s="5" t="n">
        <v>2</v>
      </c>
      <c r="B92" s="6" t="s">
        <v>171</v>
      </c>
      <c r="C92" s="7" t="s">
        <v>170</v>
      </c>
      <c r="D92" s="8" t="s">
        <v>58</v>
      </c>
      <c r="E92" s="9"/>
      <c r="F92" s="10" t="n">
        <f aca="false">IF($E92="",$N92,MAX($N92,INDEX($N$6:$N$225,MATCH($E92,$B$6:$B$225,0))))</f>
        <v>60</v>
      </c>
      <c r="G92" s="7" t="str">
        <f aca="false">IF($E92="",VLOOKUP($D92,Категории!$A$5:$C$17,3,FALSE()),"п. 21 — по пом. "&amp;$E92)</f>
        <v>п. 6</v>
      </c>
      <c r="H92" s="5" t="n">
        <f aca="false">MAX($F92+15,65)</f>
        <v>75</v>
      </c>
      <c r="I92" s="7" t="s">
        <v>20</v>
      </c>
      <c r="J92" s="7" t="s">
        <v>21</v>
      </c>
      <c r="K92" s="11" t="s">
        <v>22</v>
      </c>
      <c r="L92" s="7" t="str">
        <f aca="false">IF($K92="Звуковой","не требуется (звуковой способ)",IF($F92&lt;=65,"упрощённая оценка (п. 6.11.3)","нужен расчёт (прил. В / ПО изготовителя)"))</f>
        <v>упрощённая оценка (п. 6.11.3)</v>
      </c>
      <c r="M92" s="7"/>
      <c r="N92" s="12" t="n">
        <f aca="false">VLOOKUP($D92,Категории!$A$5:$C$17,2,FALSE())</f>
        <v>60</v>
      </c>
    </row>
    <row r="93" customFormat="false" ht="15" hidden="false" customHeight="false" outlineLevel="0" collapsed="false">
      <c r="A93" s="5" t="n">
        <v>2</v>
      </c>
      <c r="B93" s="6" t="s">
        <v>172</v>
      </c>
      <c r="C93" s="7" t="s">
        <v>173</v>
      </c>
      <c r="D93" s="8" t="s">
        <v>58</v>
      </c>
      <c r="E93" s="9"/>
      <c r="F93" s="10" t="n">
        <f aca="false">IF($E93="",$N93,MAX($N93,INDEX($N$6:$N$225,MATCH($E93,$B$6:$B$225,0))))</f>
        <v>60</v>
      </c>
      <c r="G93" s="7" t="str">
        <f aca="false">IF($E93="",VLOOKUP($D93,Категории!$A$5:$C$17,3,FALSE()),"п. 21 — по пом. "&amp;$E93)</f>
        <v>п. 6</v>
      </c>
      <c r="H93" s="5" t="n">
        <f aca="false">MAX($F93+15,65)</f>
        <v>75</v>
      </c>
      <c r="I93" s="7" t="s">
        <v>20</v>
      </c>
      <c r="J93" s="7" t="s">
        <v>21</v>
      </c>
      <c r="K93" s="11" t="s">
        <v>22</v>
      </c>
      <c r="L93" s="7" t="str">
        <f aca="false">IF($K93="Звуковой","не требуется (звуковой способ)",IF($F93&lt;=65,"упрощённая оценка (п. 6.11.3)","нужен расчёт (прил. В / ПО изготовителя)"))</f>
        <v>упрощённая оценка (п. 6.11.3)</v>
      </c>
      <c r="M93" s="7" t="s">
        <v>174</v>
      </c>
      <c r="N93" s="12" t="n">
        <f aca="false">VLOOKUP($D93,Категории!$A$5:$C$17,2,FALSE())</f>
        <v>60</v>
      </c>
    </row>
    <row r="94" customFormat="false" ht="15" hidden="false" customHeight="false" outlineLevel="0" collapsed="false">
      <c r="A94" s="5" t="n">
        <v>2</v>
      </c>
      <c r="B94" s="6" t="s">
        <v>175</v>
      </c>
      <c r="C94" s="7" t="s">
        <v>61</v>
      </c>
      <c r="D94" s="8" t="s">
        <v>58</v>
      </c>
      <c r="E94" s="9"/>
      <c r="F94" s="10" t="n">
        <f aca="false">IF($E94="",$N94,MAX($N94,INDEX($N$6:$N$225,MATCH($E94,$B$6:$B$225,0))))</f>
        <v>60</v>
      </c>
      <c r="G94" s="7" t="str">
        <f aca="false">IF($E94="",VLOOKUP($D94,Категории!$A$5:$C$17,3,FALSE()),"п. 21 — по пом. "&amp;$E94)</f>
        <v>п. 6</v>
      </c>
      <c r="H94" s="5" t="n">
        <f aca="false">MAX($F94+15,65)</f>
        <v>75</v>
      </c>
      <c r="I94" s="7" t="s">
        <v>20</v>
      </c>
      <c r="J94" s="7" t="s">
        <v>21</v>
      </c>
      <c r="K94" s="11" t="s">
        <v>22</v>
      </c>
      <c r="L94" s="7" t="str">
        <f aca="false">IF($K94="Звуковой","не требуется (звуковой способ)",IF($F94&lt;=65,"упрощённая оценка (п. 6.11.3)","нужен расчёт (прил. В / ПО изготовителя)"))</f>
        <v>упрощённая оценка (п. 6.11.3)</v>
      </c>
      <c r="M94" s="7"/>
      <c r="N94" s="12" t="n">
        <f aca="false">VLOOKUP($D94,Категории!$A$5:$C$17,2,FALSE())</f>
        <v>60</v>
      </c>
    </row>
    <row r="95" customFormat="false" ht="15" hidden="false" customHeight="false" outlineLevel="0" collapsed="false">
      <c r="A95" s="5" t="n">
        <v>2</v>
      </c>
      <c r="B95" s="6" t="s">
        <v>176</v>
      </c>
      <c r="C95" s="7" t="s">
        <v>43</v>
      </c>
      <c r="D95" s="8" t="s">
        <v>36</v>
      </c>
      <c r="E95" s="9"/>
      <c r="F95" s="10" t="n">
        <f aca="false">IF($E95="",$N95,MAX($N95,INDEX($N$6:$N$225,MATCH($E95,$B$6:$B$225,0))))</f>
        <v>60</v>
      </c>
      <c r="G95" s="7" t="str">
        <f aca="false">IF($E95="",VLOOKUP($D95,Категории!$A$5:$C$17,3,FALSE()),"п. 21 — по пом. "&amp;$E95)</f>
        <v>п. 21</v>
      </c>
      <c r="H95" s="5" t="n">
        <f aca="false">MAX($F95+15,65)</f>
        <v>75</v>
      </c>
      <c r="I95" s="7" t="s">
        <v>20</v>
      </c>
      <c r="J95" s="7" t="s">
        <v>21</v>
      </c>
      <c r="K95" s="11" t="s">
        <v>22</v>
      </c>
      <c r="L95" s="7" t="str">
        <f aca="false">IF($K95="Звуковой","не требуется (звуковой способ)",IF($F95&lt;=65,"упрощённая оценка (п. 6.11.3)","нужен расчёт (прил. В / ПО изготовителя)"))</f>
        <v>упрощённая оценка (п. 6.11.3)</v>
      </c>
      <c r="M95" s="7"/>
      <c r="N95" s="12" t="n">
        <f aca="false">VLOOKUP($D95,Категории!$A$5:$C$17,2,FALSE())</f>
        <v>60</v>
      </c>
    </row>
    <row r="96" customFormat="false" ht="15" hidden="false" customHeight="false" outlineLevel="0" collapsed="false">
      <c r="A96" s="5" t="n">
        <v>2</v>
      </c>
      <c r="B96" s="6" t="s">
        <v>177</v>
      </c>
      <c r="C96" s="7" t="s">
        <v>61</v>
      </c>
      <c r="D96" s="8" t="s">
        <v>58</v>
      </c>
      <c r="E96" s="9"/>
      <c r="F96" s="10" t="n">
        <f aca="false">IF($E96="",$N96,MAX($N96,INDEX($N$6:$N$225,MATCH($E96,$B$6:$B$225,0))))</f>
        <v>60</v>
      </c>
      <c r="G96" s="7" t="str">
        <f aca="false">IF($E96="",VLOOKUP($D96,Категории!$A$5:$C$17,3,FALSE()),"п. 21 — по пом. "&amp;$E96)</f>
        <v>п. 6</v>
      </c>
      <c r="H96" s="5" t="n">
        <f aca="false">MAX($F96+15,65)</f>
        <v>75</v>
      </c>
      <c r="I96" s="7" t="s">
        <v>20</v>
      </c>
      <c r="J96" s="7" t="s">
        <v>21</v>
      </c>
      <c r="K96" s="11" t="s">
        <v>22</v>
      </c>
      <c r="L96" s="7" t="str">
        <f aca="false">IF($K96="Звуковой","не требуется (звуковой способ)",IF($F96&lt;=65,"упрощённая оценка (п. 6.11.3)","нужен расчёт (прил. В / ПО изготовителя)"))</f>
        <v>упрощённая оценка (п. 6.11.3)</v>
      </c>
      <c r="M96" s="7"/>
      <c r="N96" s="12" t="n">
        <f aca="false">VLOOKUP($D96,Категории!$A$5:$C$17,2,FALSE())</f>
        <v>60</v>
      </c>
    </row>
    <row r="97" customFormat="false" ht="15" hidden="false" customHeight="false" outlineLevel="0" collapsed="false">
      <c r="A97" s="5" t="n">
        <v>2</v>
      </c>
      <c r="B97" s="6" t="s">
        <v>178</v>
      </c>
      <c r="C97" s="7" t="s">
        <v>35</v>
      </c>
      <c r="D97" s="8" t="s">
        <v>36</v>
      </c>
      <c r="E97" s="9" t="s">
        <v>168</v>
      </c>
      <c r="F97" s="10" t="n">
        <f aca="false">IF($E97="",$N97,MAX($N97,INDEX($N$6:$N$225,MATCH($E97,$B$6:$B$225,0))))</f>
        <v>65</v>
      </c>
      <c r="G97" s="7" t="str">
        <f aca="false">IF($E97="",VLOOKUP($D97,Категории!$A$5:$C$17,3,FALSE()),"п. 21 — по пом. "&amp;$E97)</f>
        <v>п. 21 — по пом. 35</v>
      </c>
      <c r="H97" s="5" t="n">
        <f aca="false">MAX($F97+15,65)</f>
        <v>80</v>
      </c>
      <c r="I97" s="7" t="s">
        <v>20</v>
      </c>
      <c r="J97" s="7" t="s">
        <v>21</v>
      </c>
      <c r="K97" s="11" t="s">
        <v>22</v>
      </c>
      <c r="L97" s="7" t="str">
        <f aca="false">IF($K97="Звуковой","не требуется (звуковой способ)",IF($F97&lt;=65,"упрощённая оценка (п. 6.11.3)","нужен расчёт (прил. В / ПО изготовителя)"))</f>
        <v>упрощённая оценка (п. 6.11.3)</v>
      </c>
      <c r="M97" s="7" t="s">
        <v>179</v>
      </c>
      <c r="N97" s="12" t="n">
        <f aca="false">VLOOKUP($D97,Категории!$A$5:$C$17,2,FALSE())</f>
        <v>60</v>
      </c>
    </row>
    <row r="98" customFormat="false" ht="15" hidden="false" customHeight="false" outlineLevel="0" collapsed="false">
      <c r="A98" s="5" t="n">
        <v>2</v>
      </c>
      <c r="B98" s="6" t="s">
        <v>180</v>
      </c>
      <c r="C98" s="7" t="s">
        <v>43</v>
      </c>
      <c r="D98" s="8" t="s">
        <v>36</v>
      </c>
      <c r="E98" s="9"/>
      <c r="F98" s="10" t="n">
        <f aca="false">IF($E98="",$N98,MAX($N98,INDEX($N$6:$N$225,MATCH($E98,$B$6:$B$225,0))))</f>
        <v>60</v>
      </c>
      <c r="G98" s="7" t="str">
        <f aca="false">IF($E98="",VLOOKUP($D98,Категории!$A$5:$C$17,3,FALSE()),"п. 21 — по пом. "&amp;$E98)</f>
        <v>п. 21</v>
      </c>
      <c r="H98" s="5" t="n">
        <f aca="false">MAX($F98+15,65)</f>
        <v>75</v>
      </c>
      <c r="I98" s="7" t="s">
        <v>20</v>
      </c>
      <c r="J98" s="7" t="s">
        <v>21</v>
      </c>
      <c r="K98" s="11" t="s">
        <v>22</v>
      </c>
      <c r="L98" s="7" t="str">
        <f aca="false">IF($K98="Звуковой","не требуется (звуковой способ)",IF($F98&lt;=65,"упрощённая оценка (п. 6.11.3)","нужен расчёт (прил. В / ПО изготовителя)"))</f>
        <v>упрощённая оценка (п. 6.11.3)</v>
      </c>
      <c r="M98" s="7"/>
      <c r="N98" s="12" t="n">
        <f aca="false">VLOOKUP($D98,Категории!$A$5:$C$17,2,FALSE())</f>
        <v>60</v>
      </c>
    </row>
    <row r="99" customFormat="false" ht="15" hidden="false" customHeight="false" outlineLevel="0" collapsed="false">
      <c r="A99" s="5" t="n">
        <v>2</v>
      </c>
      <c r="B99" s="6" t="s">
        <v>181</v>
      </c>
      <c r="C99" s="7" t="s">
        <v>61</v>
      </c>
      <c r="D99" s="8" t="s">
        <v>58</v>
      </c>
      <c r="E99" s="9"/>
      <c r="F99" s="10" t="n">
        <f aca="false">IF($E99="",$N99,MAX($N99,INDEX($N$6:$N$225,MATCH($E99,$B$6:$B$225,0))))</f>
        <v>60</v>
      </c>
      <c r="G99" s="7" t="str">
        <f aca="false">IF($E99="",VLOOKUP($D99,Категории!$A$5:$C$17,3,FALSE()),"п. 21 — по пом. "&amp;$E99)</f>
        <v>п. 6</v>
      </c>
      <c r="H99" s="5" t="n">
        <f aca="false">MAX($F99+15,65)</f>
        <v>75</v>
      </c>
      <c r="I99" s="7" t="s">
        <v>20</v>
      </c>
      <c r="J99" s="7" t="s">
        <v>21</v>
      </c>
      <c r="K99" s="11" t="s">
        <v>22</v>
      </c>
      <c r="L99" s="7" t="str">
        <f aca="false">IF($K99="Звуковой","не требуется (звуковой способ)",IF($F99&lt;=65,"упрощённая оценка (п. 6.11.3)","нужен расчёт (прил. В / ПО изготовителя)"))</f>
        <v>упрощённая оценка (п. 6.11.3)</v>
      </c>
      <c r="M99" s="7"/>
      <c r="N99" s="12" t="n">
        <f aca="false">VLOOKUP($D99,Категории!$A$5:$C$17,2,FALSE())</f>
        <v>60</v>
      </c>
    </row>
    <row r="100" customFormat="false" ht="15" hidden="false" customHeight="false" outlineLevel="0" collapsed="false">
      <c r="A100" s="5" t="n">
        <v>2</v>
      </c>
      <c r="B100" s="6" t="s">
        <v>182</v>
      </c>
      <c r="C100" s="7" t="s">
        <v>35</v>
      </c>
      <c r="D100" s="8" t="s">
        <v>36</v>
      </c>
      <c r="E100" s="9"/>
      <c r="F100" s="10" t="n">
        <f aca="false">IF($E100="",$N100,MAX($N100,INDEX($N$6:$N$225,MATCH($E100,$B$6:$B$225,0))))</f>
        <v>60</v>
      </c>
      <c r="G100" s="7" t="str">
        <f aca="false">IF($E100="",VLOOKUP($D100,Категории!$A$5:$C$17,3,FALSE()),"п. 21 — по пом. "&amp;$E100)</f>
        <v>п. 21</v>
      </c>
      <c r="H100" s="5" t="n">
        <f aca="false">MAX($F100+15,65)</f>
        <v>75</v>
      </c>
      <c r="I100" s="7" t="s">
        <v>20</v>
      </c>
      <c r="J100" s="7" t="s">
        <v>21</v>
      </c>
      <c r="K100" s="11" t="s">
        <v>22</v>
      </c>
      <c r="L100" s="7" t="str">
        <f aca="false">IF($K100="Звуковой","не требуется (звуковой способ)",IF($F100&lt;=65,"упрощённая оценка (п. 6.11.3)","нужен расчёт (прил. В / ПО изготовителя)"))</f>
        <v>упрощённая оценка (п. 6.11.3)</v>
      </c>
      <c r="M100" s="7"/>
      <c r="N100" s="12" t="n">
        <f aca="false">VLOOKUP($D100,Категории!$A$5:$C$17,2,FALSE())</f>
        <v>60</v>
      </c>
    </row>
    <row r="101" customFormat="false" ht="23.85" hidden="false" customHeight="false" outlineLevel="0" collapsed="false">
      <c r="A101" s="5" t="n">
        <v>2</v>
      </c>
      <c r="B101" s="6" t="s">
        <v>183</v>
      </c>
      <c r="C101" s="7" t="s">
        <v>109</v>
      </c>
      <c r="D101" s="8" t="s">
        <v>110</v>
      </c>
      <c r="E101" s="9"/>
      <c r="F101" s="10" t="n">
        <f aca="false">IF($E101="",$N101,MAX($N101,INDEX($N$6:$N$225,MATCH($E101,$B$6:$B$225,0))))</f>
        <v>55</v>
      </c>
      <c r="G101" s="7" t="str">
        <f aca="false">IF($E101="",VLOOKUP($D101,Категории!$A$5:$C$17,3,FALSE()),"п. 21 — по пом. "&amp;$E101)</f>
        <v>п. 28</v>
      </c>
      <c r="H101" s="5" t="n">
        <f aca="false">MAX($F101+15,65)</f>
        <v>70</v>
      </c>
      <c r="I101" s="7" t="s">
        <v>111</v>
      </c>
      <c r="J101" s="7" t="s">
        <v>21</v>
      </c>
      <c r="K101" s="11" t="s">
        <v>22</v>
      </c>
      <c r="L101" s="7" t="str">
        <f aca="false">IF($K101="Звуковой","не требуется (звуковой способ)",IF($F101&lt;=65,"упрощённая оценка (п. 6.11.3)","нужен расчёт (прил. В / ПО изготовителя)"))</f>
        <v>упрощённая оценка (п. 6.11.3)</v>
      </c>
      <c r="M101" s="7"/>
      <c r="N101" s="12" t="n">
        <f aca="false">VLOOKUP($D101,Категории!$A$5:$C$17,2,FALSE())</f>
        <v>55</v>
      </c>
    </row>
    <row r="102" customFormat="false" ht="35.05" hidden="false" customHeight="false" outlineLevel="0" collapsed="false">
      <c r="A102" s="5" t="n">
        <v>2</v>
      </c>
      <c r="B102" s="6" t="s">
        <v>184</v>
      </c>
      <c r="C102" s="7" t="s">
        <v>100</v>
      </c>
      <c r="D102" s="8" t="s">
        <v>46</v>
      </c>
      <c r="E102" s="9"/>
      <c r="F102" s="10" t="n">
        <f aca="false">IF($E102="",$N102,MAX($N102,INDEX($N$6:$N$225,MATCH($E102,$B$6:$B$225,0))))</f>
        <v>60</v>
      </c>
      <c r="G102" s="7" t="str">
        <f aca="false">IF($E102="",VLOOKUP($D102,Категории!$A$5:$C$17,3,FALSE()),"п. 21 — по пом. "&amp;$E102)</f>
        <v>по аналогии с п. 6</v>
      </c>
      <c r="H102" s="5" t="n">
        <f aca="false">MAX($F102+15,65)</f>
        <v>75</v>
      </c>
      <c r="I102" s="14" t="s">
        <v>101</v>
      </c>
      <c r="J102" s="7" t="s">
        <v>32</v>
      </c>
      <c r="K102" s="11" t="s">
        <v>22</v>
      </c>
      <c r="L102" s="7" t="str">
        <f aca="false">IF($K102="Звуковой","не требуется (звуковой способ)",IF($F102&lt;=65,"упрощённая оценка (п. 6.11.3)","нужен расчёт (прил. В / ПО изготовителя)"))</f>
        <v>упрощённая оценка (п. 6.11.3)</v>
      </c>
      <c r="M102" s="7"/>
      <c r="N102" s="12" t="n">
        <f aca="false">VLOOKUP($D102,Категории!$A$5:$C$17,2,FALSE())</f>
        <v>60</v>
      </c>
    </row>
    <row r="103" customFormat="false" ht="23.85" hidden="false" customHeight="false" outlineLevel="0" collapsed="false">
      <c r="A103" s="5" t="n">
        <v>2</v>
      </c>
      <c r="B103" s="6" t="s">
        <v>185</v>
      </c>
      <c r="C103" s="7" t="s">
        <v>109</v>
      </c>
      <c r="D103" s="8" t="s">
        <v>110</v>
      </c>
      <c r="E103" s="9"/>
      <c r="F103" s="10" t="n">
        <f aca="false">IF($E103="",$N103,MAX($N103,INDEX($N$6:$N$225,MATCH($E103,$B$6:$B$225,0))))</f>
        <v>55</v>
      </c>
      <c r="G103" s="7" t="str">
        <f aca="false">IF($E103="",VLOOKUP($D103,Категории!$A$5:$C$17,3,FALSE()),"п. 21 — по пом. "&amp;$E103)</f>
        <v>п. 28</v>
      </c>
      <c r="H103" s="5" t="n">
        <f aca="false">MAX($F103+15,65)</f>
        <v>70</v>
      </c>
      <c r="I103" s="7" t="s">
        <v>111</v>
      </c>
      <c r="J103" s="7" t="s">
        <v>21</v>
      </c>
      <c r="K103" s="11" t="s">
        <v>22</v>
      </c>
      <c r="L103" s="7" t="str">
        <f aca="false">IF($K103="Звуковой","не требуется (звуковой способ)",IF($F103&lt;=65,"упрощённая оценка (п. 6.11.3)","нужен расчёт (прил. В / ПО изготовителя)"))</f>
        <v>упрощённая оценка (п. 6.11.3)</v>
      </c>
      <c r="M103" s="7"/>
      <c r="N103" s="12" t="n">
        <f aca="false">VLOOKUP($D103,Категории!$A$5:$C$17,2,FALSE())</f>
        <v>55</v>
      </c>
    </row>
    <row r="104" customFormat="false" ht="23.85" hidden="false" customHeight="false" outlineLevel="0" collapsed="false">
      <c r="A104" s="5" t="n">
        <v>2</v>
      </c>
      <c r="B104" s="6" t="s">
        <v>186</v>
      </c>
      <c r="C104" s="7" t="s">
        <v>109</v>
      </c>
      <c r="D104" s="8" t="s">
        <v>110</v>
      </c>
      <c r="E104" s="9"/>
      <c r="F104" s="10" t="n">
        <f aca="false">IF($E104="",$N104,MAX($N104,INDEX($N$6:$N$225,MATCH($E104,$B$6:$B$225,0))))</f>
        <v>55</v>
      </c>
      <c r="G104" s="7" t="str">
        <f aca="false">IF($E104="",VLOOKUP($D104,Категории!$A$5:$C$17,3,FALSE()),"п. 21 — по пом. "&amp;$E104)</f>
        <v>п. 28</v>
      </c>
      <c r="H104" s="5" t="n">
        <f aca="false">MAX($F104+15,65)</f>
        <v>70</v>
      </c>
      <c r="I104" s="7" t="s">
        <v>111</v>
      </c>
      <c r="J104" s="7" t="s">
        <v>21</v>
      </c>
      <c r="K104" s="11" t="s">
        <v>22</v>
      </c>
      <c r="L104" s="7" t="str">
        <f aca="false">IF($K104="Звуковой","не требуется (звуковой способ)",IF($F104&lt;=65,"упрощённая оценка (п. 6.11.3)","нужен расчёт (прил. В / ПО изготовителя)"))</f>
        <v>упрощённая оценка (п. 6.11.3)</v>
      </c>
      <c r="M104" s="7"/>
      <c r="N104" s="12" t="n">
        <f aca="false">VLOOKUP($D104,Категории!$A$5:$C$17,2,FALSE())</f>
        <v>55</v>
      </c>
    </row>
    <row r="105" customFormat="false" ht="15" hidden="false" customHeight="false" outlineLevel="0" collapsed="false">
      <c r="A105" s="5" t="n">
        <v>2</v>
      </c>
      <c r="B105" s="6" t="s">
        <v>187</v>
      </c>
      <c r="C105" s="7" t="s">
        <v>35</v>
      </c>
      <c r="D105" s="8" t="s">
        <v>36</v>
      </c>
      <c r="E105" s="9"/>
      <c r="F105" s="10" t="n">
        <f aca="false">IF($E105="",$N105,MAX($N105,INDEX($N$6:$N$225,MATCH($E105,$B$6:$B$225,0))))</f>
        <v>60</v>
      </c>
      <c r="G105" s="7" t="str">
        <f aca="false">IF($E105="",VLOOKUP($D105,Категории!$A$5:$C$17,3,FALSE()),"п. 21 — по пом. "&amp;$E105)</f>
        <v>п. 21</v>
      </c>
      <c r="H105" s="5" t="n">
        <f aca="false">MAX($F105+15,65)</f>
        <v>75</v>
      </c>
      <c r="I105" s="7" t="s">
        <v>20</v>
      </c>
      <c r="J105" s="7" t="s">
        <v>21</v>
      </c>
      <c r="K105" s="11" t="s">
        <v>22</v>
      </c>
      <c r="L105" s="7" t="str">
        <f aca="false">IF($K105="Звуковой","не требуется (звуковой способ)",IF($F105&lt;=65,"упрощённая оценка (п. 6.11.3)","нужен расчёт (прил. В / ПО изготовителя)"))</f>
        <v>упрощённая оценка (п. 6.11.3)</v>
      </c>
      <c r="M105" s="7"/>
      <c r="N105" s="12" t="n">
        <f aca="false">VLOOKUP($D105,Категории!$A$5:$C$17,2,FALSE())</f>
        <v>60</v>
      </c>
    </row>
    <row r="106" customFormat="false" ht="15" hidden="false" customHeight="false" outlineLevel="0" collapsed="false">
      <c r="A106" s="5" t="n">
        <v>2</v>
      </c>
      <c r="B106" s="6" t="s">
        <v>188</v>
      </c>
      <c r="C106" s="7" t="s">
        <v>61</v>
      </c>
      <c r="D106" s="8" t="s">
        <v>58</v>
      </c>
      <c r="E106" s="9"/>
      <c r="F106" s="10" t="n">
        <f aca="false">IF($E106="",$N106,MAX($N106,INDEX($N$6:$N$225,MATCH($E106,$B$6:$B$225,0))))</f>
        <v>60</v>
      </c>
      <c r="G106" s="7" t="str">
        <f aca="false">IF($E106="",VLOOKUP($D106,Категории!$A$5:$C$17,3,FALSE()),"п. 21 — по пом. "&amp;$E106)</f>
        <v>п. 6</v>
      </c>
      <c r="H106" s="5" t="n">
        <f aca="false">MAX($F106+15,65)</f>
        <v>75</v>
      </c>
      <c r="I106" s="7" t="s">
        <v>20</v>
      </c>
      <c r="J106" s="7" t="s">
        <v>21</v>
      </c>
      <c r="K106" s="11" t="s">
        <v>22</v>
      </c>
      <c r="L106" s="7" t="str">
        <f aca="false">IF($K106="Звуковой","не требуется (звуковой способ)",IF($F106&lt;=65,"упрощённая оценка (п. 6.11.3)","нужен расчёт (прил. В / ПО изготовителя)"))</f>
        <v>упрощённая оценка (п. 6.11.3)</v>
      </c>
      <c r="M106" s="7"/>
      <c r="N106" s="12" t="n">
        <f aca="false">VLOOKUP($D106,Категории!$A$5:$C$17,2,FALSE())</f>
        <v>60</v>
      </c>
    </row>
    <row r="107" customFormat="false" ht="15" hidden="false" customHeight="false" outlineLevel="0" collapsed="false">
      <c r="A107" s="5" t="n">
        <v>2</v>
      </c>
      <c r="B107" s="6" t="s">
        <v>189</v>
      </c>
      <c r="C107" s="7" t="s">
        <v>158</v>
      </c>
      <c r="D107" s="8" t="s">
        <v>58</v>
      </c>
      <c r="E107" s="9"/>
      <c r="F107" s="10" t="n">
        <f aca="false">IF($E107="",$N107,MAX($N107,INDEX($N$6:$N$225,MATCH($E107,$B$6:$B$225,0))))</f>
        <v>60</v>
      </c>
      <c r="G107" s="7" t="str">
        <f aca="false">IF($E107="",VLOOKUP($D107,Категории!$A$5:$C$17,3,FALSE()),"п. 21 — по пом. "&amp;$E107)</f>
        <v>п. 6</v>
      </c>
      <c r="H107" s="5" t="n">
        <f aca="false">MAX($F107+15,65)</f>
        <v>75</v>
      </c>
      <c r="I107" s="7" t="s">
        <v>20</v>
      </c>
      <c r="J107" s="7" t="s">
        <v>21</v>
      </c>
      <c r="K107" s="11" t="s">
        <v>22</v>
      </c>
      <c r="L107" s="7" t="str">
        <f aca="false">IF($K107="Звуковой","не требуется (звуковой способ)",IF($F107&lt;=65,"упрощённая оценка (п. 6.11.3)","нужен расчёт (прил. В / ПО изготовителя)"))</f>
        <v>упрощённая оценка (п. 6.11.3)</v>
      </c>
      <c r="M107" s="7"/>
      <c r="N107" s="12" t="n">
        <f aca="false">VLOOKUP($D107,Категории!$A$5:$C$17,2,FALSE())</f>
        <v>60</v>
      </c>
    </row>
    <row r="108" customFormat="false" ht="15" hidden="false" customHeight="false" outlineLevel="0" collapsed="false">
      <c r="A108" s="5" t="n">
        <v>2</v>
      </c>
      <c r="B108" s="6" t="s">
        <v>190</v>
      </c>
      <c r="C108" s="7" t="s">
        <v>61</v>
      </c>
      <c r="D108" s="8" t="s">
        <v>58</v>
      </c>
      <c r="E108" s="9"/>
      <c r="F108" s="10" t="n">
        <f aca="false">IF($E108="",$N108,MAX($N108,INDEX($N$6:$N$225,MATCH($E108,$B$6:$B$225,0))))</f>
        <v>60</v>
      </c>
      <c r="G108" s="7" t="str">
        <f aca="false">IF($E108="",VLOOKUP($D108,Категории!$A$5:$C$17,3,FALSE()),"п. 21 — по пом. "&amp;$E108)</f>
        <v>п. 6</v>
      </c>
      <c r="H108" s="5" t="n">
        <f aca="false">MAX($F108+15,65)</f>
        <v>75</v>
      </c>
      <c r="I108" s="7" t="s">
        <v>20</v>
      </c>
      <c r="J108" s="7" t="s">
        <v>21</v>
      </c>
      <c r="K108" s="11" t="s">
        <v>22</v>
      </c>
      <c r="L108" s="7" t="str">
        <f aca="false">IF($K108="Звуковой","не требуется (звуковой способ)",IF($F108&lt;=65,"упрощённая оценка (п. 6.11.3)","нужен расчёт (прил. В / ПО изготовителя)"))</f>
        <v>упрощённая оценка (п. 6.11.3)</v>
      </c>
      <c r="M108" s="7"/>
      <c r="N108" s="12" t="n">
        <f aca="false">VLOOKUP($D108,Категории!$A$5:$C$17,2,FALSE())</f>
        <v>60</v>
      </c>
    </row>
    <row r="109" customFormat="false" ht="15" hidden="false" customHeight="false" outlineLevel="0" collapsed="false">
      <c r="A109" s="5" t="n">
        <v>2</v>
      </c>
      <c r="B109" s="6" t="s">
        <v>191</v>
      </c>
      <c r="C109" s="7" t="s">
        <v>61</v>
      </c>
      <c r="D109" s="8" t="s">
        <v>58</v>
      </c>
      <c r="E109" s="9"/>
      <c r="F109" s="10" t="n">
        <f aca="false">IF($E109="",$N109,MAX($N109,INDEX($N$6:$N$225,MATCH($E109,$B$6:$B$225,0))))</f>
        <v>60</v>
      </c>
      <c r="G109" s="7" t="str">
        <f aca="false">IF($E109="",VLOOKUP($D109,Категории!$A$5:$C$17,3,FALSE()),"п. 21 — по пом. "&amp;$E109)</f>
        <v>п. 6</v>
      </c>
      <c r="H109" s="5" t="n">
        <f aca="false">MAX($F109+15,65)</f>
        <v>75</v>
      </c>
      <c r="I109" s="7" t="s">
        <v>20</v>
      </c>
      <c r="J109" s="7" t="s">
        <v>21</v>
      </c>
      <c r="K109" s="11" t="s">
        <v>22</v>
      </c>
      <c r="L109" s="7" t="str">
        <f aca="false">IF($K109="Звуковой","не требуется (звуковой способ)",IF($F109&lt;=65,"упрощённая оценка (п. 6.11.3)","нужен расчёт (прил. В / ПО изготовителя)"))</f>
        <v>упрощённая оценка (п. 6.11.3)</v>
      </c>
      <c r="M109" s="7"/>
      <c r="N109" s="12" t="n">
        <f aca="false">VLOOKUP($D109,Категории!$A$5:$C$17,2,FALSE())</f>
        <v>60</v>
      </c>
    </row>
    <row r="110" customFormat="false" ht="15" hidden="false" customHeight="false" outlineLevel="0" collapsed="false">
      <c r="A110" s="5" t="n">
        <v>2</v>
      </c>
      <c r="B110" s="6" t="s">
        <v>192</v>
      </c>
      <c r="C110" s="7" t="s">
        <v>61</v>
      </c>
      <c r="D110" s="8" t="s">
        <v>58</v>
      </c>
      <c r="E110" s="9"/>
      <c r="F110" s="10" t="n">
        <f aca="false">IF($E110="",$N110,MAX($N110,INDEX($N$6:$N$225,MATCH($E110,$B$6:$B$225,0))))</f>
        <v>60</v>
      </c>
      <c r="G110" s="7" t="str">
        <f aca="false">IF($E110="",VLOOKUP($D110,Категории!$A$5:$C$17,3,FALSE()),"п. 21 — по пом. "&amp;$E110)</f>
        <v>п. 6</v>
      </c>
      <c r="H110" s="5" t="n">
        <f aca="false">MAX($F110+15,65)</f>
        <v>75</v>
      </c>
      <c r="I110" s="7" t="s">
        <v>20</v>
      </c>
      <c r="J110" s="7" t="s">
        <v>21</v>
      </c>
      <c r="K110" s="11" t="s">
        <v>22</v>
      </c>
      <c r="L110" s="7" t="str">
        <f aca="false">IF($K110="Звуковой","не требуется (звуковой способ)",IF($F110&lt;=65,"упрощённая оценка (п. 6.11.3)","нужен расчёт (прил. В / ПО изготовителя)"))</f>
        <v>упрощённая оценка (п. 6.11.3)</v>
      </c>
      <c r="M110" s="7"/>
      <c r="N110" s="12" t="n">
        <f aca="false">VLOOKUP($D110,Категории!$A$5:$C$17,2,FALSE())</f>
        <v>60</v>
      </c>
    </row>
    <row r="111" customFormat="false" ht="15" hidden="false" customHeight="false" outlineLevel="0" collapsed="false">
      <c r="A111" s="5" t="n">
        <v>2</v>
      </c>
      <c r="B111" s="6" t="s">
        <v>193</v>
      </c>
      <c r="C111" s="7" t="s">
        <v>61</v>
      </c>
      <c r="D111" s="8" t="s">
        <v>58</v>
      </c>
      <c r="E111" s="9"/>
      <c r="F111" s="10" t="n">
        <f aca="false">IF($E111="",$N111,MAX($N111,INDEX($N$6:$N$225,MATCH($E111,$B$6:$B$225,0))))</f>
        <v>60</v>
      </c>
      <c r="G111" s="7" t="str">
        <f aca="false">IF($E111="",VLOOKUP($D111,Категории!$A$5:$C$17,3,FALSE()),"п. 21 — по пом. "&amp;$E111)</f>
        <v>п. 6</v>
      </c>
      <c r="H111" s="5" t="n">
        <f aca="false">MAX($F111+15,65)</f>
        <v>75</v>
      </c>
      <c r="I111" s="7" t="s">
        <v>20</v>
      </c>
      <c r="J111" s="7" t="s">
        <v>21</v>
      </c>
      <c r="K111" s="11" t="s">
        <v>22</v>
      </c>
      <c r="L111" s="7" t="str">
        <f aca="false">IF($K111="Звуковой","не требуется (звуковой способ)",IF($F111&lt;=65,"упрощённая оценка (п. 6.11.3)","нужен расчёт (прил. В / ПО изготовителя)"))</f>
        <v>упрощённая оценка (п. 6.11.3)</v>
      </c>
      <c r="M111" s="7"/>
      <c r="N111" s="12" t="n">
        <f aca="false">VLOOKUP($D111,Категории!$A$5:$C$17,2,FALSE())</f>
        <v>60</v>
      </c>
    </row>
    <row r="112" customFormat="false" ht="15" hidden="false" customHeight="false" outlineLevel="0" collapsed="false">
      <c r="A112" s="5" t="n">
        <v>2</v>
      </c>
      <c r="B112" s="6" t="s">
        <v>194</v>
      </c>
      <c r="C112" s="7" t="s">
        <v>61</v>
      </c>
      <c r="D112" s="8" t="s">
        <v>58</v>
      </c>
      <c r="E112" s="9"/>
      <c r="F112" s="10" t="n">
        <f aca="false">IF($E112="",$N112,MAX($N112,INDEX($N$6:$N$225,MATCH($E112,$B$6:$B$225,0))))</f>
        <v>60</v>
      </c>
      <c r="G112" s="7" t="str">
        <f aca="false">IF($E112="",VLOOKUP($D112,Категории!$A$5:$C$17,3,FALSE()),"п. 21 — по пом. "&amp;$E112)</f>
        <v>п. 6</v>
      </c>
      <c r="H112" s="5" t="n">
        <f aca="false">MAX($F112+15,65)</f>
        <v>75</v>
      </c>
      <c r="I112" s="7" t="s">
        <v>20</v>
      </c>
      <c r="J112" s="7" t="s">
        <v>21</v>
      </c>
      <c r="K112" s="11" t="s">
        <v>22</v>
      </c>
      <c r="L112" s="7" t="str">
        <f aca="false">IF($K112="Звуковой","не требуется (звуковой способ)",IF($F112&lt;=65,"упрощённая оценка (п. 6.11.3)","нужен расчёт (прил. В / ПО изготовителя)"))</f>
        <v>упрощённая оценка (п. 6.11.3)</v>
      </c>
      <c r="M112" s="7"/>
      <c r="N112" s="12" t="n">
        <f aca="false">VLOOKUP($D112,Категории!$A$5:$C$17,2,FALSE())</f>
        <v>60</v>
      </c>
    </row>
    <row r="113" customFormat="false" ht="15" hidden="false" customHeight="false" outlineLevel="0" collapsed="false">
      <c r="A113" s="5" t="n">
        <v>2</v>
      </c>
      <c r="B113" s="6" t="s">
        <v>195</v>
      </c>
      <c r="C113" s="7" t="s">
        <v>61</v>
      </c>
      <c r="D113" s="8" t="s">
        <v>58</v>
      </c>
      <c r="E113" s="9"/>
      <c r="F113" s="10" t="n">
        <f aca="false">IF($E113="",$N113,MAX($N113,INDEX($N$6:$N$225,MATCH($E113,$B$6:$B$225,0))))</f>
        <v>60</v>
      </c>
      <c r="G113" s="7" t="str">
        <f aca="false">IF($E113="",VLOOKUP($D113,Категории!$A$5:$C$17,3,FALSE()),"п. 21 — по пом. "&amp;$E113)</f>
        <v>п. 6</v>
      </c>
      <c r="H113" s="5" t="n">
        <f aca="false">MAX($F113+15,65)</f>
        <v>75</v>
      </c>
      <c r="I113" s="7" t="s">
        <v>20</v>
      </c>
      <c r="J113" s="7" t="s">
        <v>21</v>
      </c>
      <c r="K113" s="11" t="s">
        <v>22</v>
      </c>
      <c r="L113" s="7" t="str">
        <f aca="false">IF($K113="Звуковой","не требуется (звуковой способ)",IF($F113&lt;=65,"упрощённая оценка (п. 6.11.3)","нужен расчёт (прил. В / ПО изготовителя)"))</f>
        <v>упрощённая оценка (п. 6.11.3)</v>
      </c>
      <c r="M113" s="7"/>
      <c r="N113" s="12" t="n">
        <f aca="false">VLOOKUP($D113,Категории!$A$5:$C$17,2,FALSE())</f>
        <v>60</v>
      </c>
    </row>
    <row r="114" customFormat="false" ht="15" hidden="false" customHeight="false" outlineLevel="0" collapsed="false">
      <c r="A114" s="5" t="n">
        <v>2</v>
      </c>
      <c r="B114" s="6" t="s">
        <v>196</v>
      </c>
      <c r="C114" s="7" t="s">
        <v>57</v>
      </c>
      <c r="D114" s="8" t="s">
        <v>58</v>
      </c>
      <c r="E114" s="9"/>
      <c r="F114" s="10" t="n">
        <f aca="false">IF($E114="",$N114,MAX($N114,INDEX($N$6:$N$225,MATCH($E114,$B$6:$B$225,0))))</f>
        <v>60</v>
      </c>
      <c r="G114" s="7" t="str">
        <f aca="false">IF($E114="",VLOOKUP($D114,Категории!$A$5:$C$17,3,FALSE()),"п. 21 — по пом. "&amp;$E114)</f>
        <v>п. 6</v>
      </c>
      <c r="H114" s="5" t="n">
        <f aca="false">MAX($F114+15,65)</f>
        <v>75</v>
      </c>
      <c r="I114" s="7" t="s">
        <v>20</v>
      </c>
      <c r="J114" s="7" t="s">
        <v>21</v>
      </c>
      <c r="K114" s="11" t="s">
        <v>22</v>
      </c>
      <c r="L114" s="7" t="str">
        <f aca="false">IF($K114="Звуковой","не требуется (звуковой способ)",IF($F114&lt;=65,"упрощённая оценка (п. 6.11.3)","нужен расчёт (прил. В / ПО изготовителя)"))</f>
        <v>упрощённая оценка (п. 6.11.3)</v>
      </c>
      <c r="M114" s="7"/>
      <c r="N114" s="12" t="n">
        <f aca="false">VLOOKUP($D114,Категории!$A$5:$C$17,2,FALSE())</f>
        <v>60</v>
      </c>
    </row>
    <row r="115" customFormat="false" ht="15" hidden="false" customHeight="false" outlineLevel="0" collapsed="false">
      <c r="A115" s="5" t="n">
        <v>2</v>
      </c>
      <c r="B115" s="6" t="s">
        <v>197</v>
      </c>
      <c r="C115" s="7" t="s">
        <v>57</v>
      </c>
      <c r="D115" s="8" t="s">
        <v>58</v>
      </c>
      <c r="E115" s="9"/>
      <c r="F115" s="10" t="n">
        <f aca="false">IF($E115="",$N115,MAX($N115,INDEX($N$6:$N$225,MATCH($E115,$B$6:$B$225,0))))</f>
        <v>60</v>
      </c>
      <c r="G115" s="7" t="str">
        <f aca="false">IF($E115="",VLOOKUP($D115,Категории!$A$5:$C$17,3,FALSE()),"п. 21 — по пом. "&amp;$E115)</f>
        <v>п. 6</v>
      </c>
      <c r="H115" s="5" t="n">
        <f aca="false">MAX($F115+15,65)</f>
        <v>75</v>
      </c>
      <c r="I115" s="7" t="s">
        <v>20</v>
      </c>
      <c r="J115" s="7" t="s">
        <v>21</v>
      </c>
      <c r="K115" s="11" t="s">
        <v>22</v>
      </c>
      <c r="L115" s="7" t="str">
        <f aca="false">IF($K115="Звуковой","не требуется (звуковой способ)",IF($F115&lt;=65,"упрощённая оценка (п. 6.11.3)","нужен расчёт (прил. В / ПО изготовителя)"))</f>
        <v>упрощённая оценка (п. 6.11.3)</v>
      </c>
      <c r="M115" s="7"/>
      <c r="N115" s="12" t="n">
        <f aca="false">VLOOKUP($D115,Категории!$A$5:$C$17,2,FALSE())</f>
        <v>60</v>
      </c>
    </row>
    <row r="116" customFormat="false" ht="15" hidden="false" customHeight="false" outlineLevel="0" collapsed="false">
      <c r="A116" s="5" t="n">
        <v>2</v>
      </c>
      <c r="B116" s="6" t="s">
        <v>198</v>
      </c>
      <c r="C116" s="7" t="s">
        <v>199</v>
      </c>
      <c r="D116" s="8" t="s">
        <v>200</v>
      </c>
      <c r="E116" s="9"/>
      <c r="F116" s="10" t="n">
        <f aca="false">IF($E116="",$N116,MAX($N116,INDEX($N$6:$N$225,MATCH($E116,$B$6:$B$225,0))))</f>
        <v>50</v>
      </c>
      <c r="G116" s="7" t="str">
        <f aca="false">IF($E116="",VLOOKUP($D116,Категории!$A$5:$C$17,3,FALSE()),"п. 21 — по пом. "&amp;$E116)</f>
        <v>п. 5</v>
      </c>
      <c r="H116" s="5" t="n">
        <f aca="false">MAX($F116+15,65)</f>
        <v>65</v>
      </c>
      <c r="I116" s="7" t="s">
        <v>20</v>
      </c>
      <c r="J116" s="7" t="s">
        <v>21</v>
      </c>
      <c r="K116" s="11" t="s">
        <v>22</v>
      </c>
      <c r="L116" s="7" t="str">
        <f aca="false">IF($K116="Звуковой","не требуется (звуковой способ)",IF($F116&lt;=65,"упрощённая оценка (п. 6.11.3)","нужен расчёт (прил. В / ПО изготовителя)"))</f>
        <v>упрощённая оценка (п. 6.11.3)</v>
      </c>
      <c r="M116" s="7"/>
      <c r="N116" s="12" t="n">
        <f aca="false">VLOOKUP($D116,Категории!$A$5:$C$17,2,FALSE())</f>
        <v>50</v>
      </c>
    </row>
    <row r="117" customFormat="false" ht="15" hidden="false" customHeight="false" outlineLevel="0" collapsed="false">
      <c r="A117" s="5" t="n">
        <v>2</v>
      </c>
      <c r="B117" s="6" t="s">
        <v>201</v>
      </c>
      <c r="C117" s="7" t="s">
        <v>202</v>
      </c>
      <c r="D117" s="8" t="s">
        <v>200</v>
      </c>
      <c r="E117" s="9"/>
      <c r="F117" s="10" t="n">
        <f aca="false">IF($E117="",$N117,MAX($N117,INDEX($N$6:$N$225,MATCH($E117,$B$6:$B$225,0))))</f>
        <v>50</v>
      </c>
      <c r="G117" s="7" t="str">
        <f aca="false">IF($E117="",VLOOKUP($D117,Категории!$A$5:$C$17,3,FALSE()),"п. 21 — по пом. "&amp;$E117)</f>
        <v>п. 5</v>
      </c>
      <c r="H117" s="5" t="n">
        <f aca="false">MAX($F117+15,65)</f>
        <v>65</v>
      </c>
      <c r="I117" s="7" t="s">
        <v>20</v>
      </c>
      <c r="J117" s="7" t="s">
        <v>21</v>
      </c>
      <c r="K117" s="11" t="s">
        <v>22</v>
      </c>
      <c r="L117" s="7" t="str">
        <f aca="false">IF($K117="Звуковой","не требуется (звуковой способ)",IF($F117&lt;=65,"упрощённая оценка (п. 6.11.3)","нужен расчёт (прил. В / ПО изготовителя)"))</f>
        <v>упрощённая оценка (п. 6.11.3)</v>
      </c>
      <c r="M117" s="7"/>
      <c r="N117" s="12" t="n">
        <f aca="false">VLOOKUP($D117,Категории!$A$5:$C$17,2,FALSE())</f>
        <v>50</v>
      </c>
    </row>
    <row r="118" customFormat="false" ht="15" hidden="false" customHeight="false" outlineLevel="0" collapsed="false">
      <c r="A118" s="5" t="n">
        <v>2</v>
      </c>
      <c r="B118" s="6" t="s">
        <v>203</v>
      </c>
      <c r="C118" s="7" t="s">
        <v>61</v>
      </c>
      <c r="D118" s="8" t="s">
        <v>58</v>
      </c>
      <c r="E118" s="9"/>
      <c r="F118" s="10" t="n">
        <f aca="false">IF($E118="",$N118,MAX($N118,INDEX($N$6:$N$225,MATCH($E118,$B$6:$B$225,0))))</f>
        <v>60</v>
      </c>
      <c r="G118" s="7" t="str">
        <f aca="false">IF($E118="",VLOOKUP($D118,Категории!$A$5:$C$17,3,FALSE()),"п. 21 — по пом. "&amp;$E118)</f>
        <v>п. 6</v>
      </c>
      <c r="H118" s="5" t="n">
        <f aca="false">MAX($F118+15,65)</f>
        <v>75</v>
      </c>
      <c r="I118" s="7" t="s">
        <v>20</v>
      </c>
      <c r="J118" s="7" t="s">
        <v>21</v>
      </c>
      <c r="K118" s="11" t="s">
        <v>22</v>
      </c>
      <c r="L118" s="7" t="str">
        <f aca="false">IF($K118="Звуковой","не требуется (звуковой способ)",IF($F118&lt;=65,"упрощённая оценка (п. 6.11.3)","нужен расчёт (прил. В / ПО изготовителя)"))</f>
        <v>упрощённая оценка (п. 6.11.3)</v>
      </c>
      <c r="M118" s="7"/>
      <c r="N118" s="12" t="n">
        <f aca="false">VLOOKUP($D118,Категории!$A$5:$C$17,2,FALSE())</f>
        <v>60</v>
      </c>
    </row>
    <row r="119" customFormat="false" ht="15" hidden="false" customHeight="false" outlineLevel="0" collapsed="false">
      <c r="A119" s="5" t="n">
        <v>2</v>
      </c>
      <c r="B119" s="6" t="s">
        <v>204</v>
      </c>
      <c r="C119" s="7" t="s">
        <v>35</v>
      </c>
      <c r="D119" s="8" t="s">
        <v>36</v>
      </c>
      <c r="E119" s="9"/>
      <c r="F119" s="10" t="n">
        <f aca="false">IF($E119="",$N119,MAX($N119,INDEX($N$6:$N$225,MATCH($E119,$B$6:$B$225,0))))</f>
        <v>60</v>
      </c>
      <c r="G119" s="7" t="str">
        <f aca="false">IF($E119="",VLOOKUP($D119,Категории!$A$5:$C$17,3,FALSE()),"п. 21 — по пом. "&amp;$E119)</f>
        <v>п. 21</v>
      </c>
      <c r="H119" s="5" t="n">
        <f aca="false">MAX($F119+15,65)</f>
        <v>75</v>
      </c>
      <c r="I119" s="7" t="s">
        <v>20</v>
      </c>
      <c r="J119" s="7" t="s">
        <v>21</v>
      </c>
      <c r="K119" s="11" t="s">
        <v>22</v>
      </c>
      <c r="L119" s="7" t="str">
        <f aca="false">IF($K119="Звуковой","не требуется (звуковой способ)",IF($F119&lt;=65,"упрощённая оценка (п. 6.11.3)","нужен расчёт (прил. В / ПО изготовителя)"))</f>
        <v>упрощённая оценка (п. 6.11.3)</v>
      </c>
      <c r="M119" s="7"/>
      <c r="N119" s="12" t="n">
        <f aca="false">VLOOKUP($D119,Категории!$A$5:$C$17,2,FALSE())</f>
        <v>60</v>
      </c>
    </row>
    <row r="120" customFormat="false" ht="15" hidden="false" customHeight="false" outlineLevel="0" collapsed="false">
      <c r="A120" s="5" t="n">
        <v>2</v>
      </c>
      <c r="B120" s="6" t="s">
        <v>205</v>
      </c>
      <c r="C120" s="7" t="s">
        <v>57</v>
      </c>
      <c r="D120" s="8" t="s">
        <v>58</v>
      </c>
      <c r="E120" s="9"/>
      <c r="F120" s="10" t="n">
        <f aca="false">IF($E120="",$N120,MAX($N120,INDEX($N$6:$N$225,MATCH($E120,$B$6:$B$225,0))))</f>
        <v>60</v>
      </c>
      <c r="G120" s="7" t="str">
        <f aca="false">IF($E120="",VLOOKUP($D120,Категории!$A$5:$C$17,3,FALSE()),"п. 21 — по пом. "&amp;$E120)</f>
        <v>п. 6</v>
      </c>
      <c r="H120" s="5" t="n">
        <f aca="false">MAX($F120+15,65)</f>
        <v>75</v>
      </c>
      <c r="I120" s="7" t="s">
        <v>20</v>
      </c>
      <c r="J120" s="7" t="s">
        <v>21</v>
      </c>
      <c r="K120" s="11" t="s">
        <v>22</v>
      </c>
      <c r="L120" s="7" t="str">
        <f aca="false">IF($K120="Звуковой","не требуется (звуковой способ)",IF($F120&lt;=65,"упрощённая оценка (п. 6.11.3)","нужен расчёт (прил. В / ПО изготовителя)"))</f>
        <v>упрощённая оценка (п. 6.11.3)</v>
      </c>
      <c r="M120" s="7"/>
      <c r="N120" s="12" t="n">
        <f aca="false">VLOOKUP($D120,Категории!$A$5:$C$17,2,FALSE())</f>
        <v>60</v>
      </c>
    </row>
    <row r="121" customFormat="false" ht="15" hidden="false" customHeight="false" outlineLevel="0" collapsed="false">
      <c r="A121" s="5" t="n">
        <v>2</v>
      </c>
      <c r="B121" s="6" t="s">
        <v>206</v>
      </c>
      <c r="C121" s="7" t="s">
        <v>61</v>
      </c>
      <c r="D121" s="8" t="s">
        <v>58</v>
      </c>
      <c r="E121" s="9"/>
      <c r="F121" s="10" t="n">
        <f aca="false">IF($E121="",$N121,MAX($N121,INDEX($N$6:$N$225,MATCH($E121,$B$6:$B$225,0))))</f>
        <v>60</v>
      </c>
      <c r="G121" s="7" t="str">
        <f aca="false">IF($E121="",VLOOKUP($D121,Категории!$A$5:$C$17,3,FALSE()),"п. 21 — по пом. "&amp;$E121)</f>
        <v>п. 6</v>
      </c>
      <c r="H121" s="5" t="n">
        <f aca="false">MAX($F121+15,65)</f>
        <v>75</v>
      </c>
      <c r="I121" s="7" t="s">
        <v>20</v>
      </c>
      <c r="J121" s="7" t="s">
        <v>21</v>
      </c>
      <c r="K121" s="11" t="s">
        <v>22</v>
      </c>
      <c r="L121" s="7" t="str">
        <f aca="false">IF($K121="Звуковой","не требуется (звуковой способ)",IF($F121&lt;=65,"упрощённая оценка (п. 6.11.3)","нужен расчёт (прил. В / ПО изготовителя)"))</f>
        <v>упрощённая оценка (п. 6.11.3)</v>
      </c>
      <c r="M121" s="7"/>
      <c r="N121" s="12" t="n">
        <f aca="false">VLOOKUP($D121,Категории!$A$5:$C$17,2,FALSE())</f>
        <v>60</v>
      </c>
    </row>
    <row r="122" customFormat="false" ht="15" hidden="false" customHeight="false" outlineLevel="0" collapsed="false">
      <c r="A122" s="5" t="n">
        <v>2</v>
      </c>
      <c r="B122" s="6" t="s">
        <v>207</v>
      </c>
      <c r="C122" s="7" t="s">
        <v>61</v>
      </c>
      <c r="D122" s="8" t="s">
        <v>58</v>
      </c>
      <c r="E122" s="9"/>
      <c r="F122" s="10" t="n">
        <f aca="false">IF($E122="",$N122,MAX($N122,INDEX($N$6:$N$225,MATCH($E122,$B$6:$B$225,0))))</f>
        <v>60</v>
      </c>
      <c r="G122" s="7" t="str">
        <f aca="false">IF($E122="",VLOOKUP($D122,Категории!$A$5:$C$17,3,FALSE()),"п. 21 — по пом. "&amp;$E122)</f>
        <v>п. 6</v>
      </c>
      <c r="H122" s="5" t="n">
        <f aca="false">MAX($F122+15,65)</f>
        <v>75</v>
      </c>
      <c r="I122" s="7" t="s">
        <v>20</v>
      </c>
      <c r="J122" s="7" t="s">
        <v>21</v>
      </c>
      <c r="K122" s="11" t="s">
        <v>22</v>
      </c>
      <c r="L122" s="7" t="str">
        <f aca="false">IF($K122="Звуковой","не требуется (звуковой способ)",IF($F122&lt;=65,"упрощённая оценка (п. 6.11.3)","нужен расчёт (прил. В / ПО изготовителя)"))</f>
        <v>упрощённая оценка (п. 6.11.3)</v>
      </c>
      <c r="M122" s="7"/>
      <c r="N122" s="12" t="n">
        <f aca="false">VLOOKUP($D122,Категории!$A$5:$C$17,2,FALSE())</f>
        <v>60</v>
      </c>
    </row>
    <row r="123" customFormat="false" ht="15" hidden="false" customHeight="false" outlineLevel="0" collapsed="false">
      <c r="A123" s="5" t="n">
        <v>2</v>
      </c>
      <c r="B123" s="6" t="s">
        <v>208</v>
      </c>
      <c r="C123" s="7" t="s">
        <v>61</v>
      </c>
      <c r="D123" s="8" t="s">
        <v>58</v>
      </c>
      <c r="E123" s="9"/>
      <c r="F123" s="10" t="n">
        <f aca="false">IF($E123="",$N123,MAX($N123,INDEX($N$6:$N$225,MATCH($E123,$B$6:$B$225,0))))</f>
        <v>60</v>
      </c>
      <c r="G123" s="7" t="str">
        <f aca="false">IF($E123="",VLOOKUP($D123,Категории!$A$5:$C$17,3,FALSE()),"п. 21 — по пом. "&amp;$E123)</f>
        <v>п. 6</v>
      </c>
      <c r="H123" s="5" t="n">
        <f aca="false">MAX($F123+15,65)</f>
        <v>75</v>
      </c>
      <c r="I123" s="7" t="s">
        <v>20</v>
      </c>
      <c r="J123" s="7" t="s">
        <v>21</v>
      </c>
      <c r="K123" s="11" t="s">
        <v>22</v>
      </c>
      <c r="L123" s="7" t="str">
        <f aca="false">IF($K123="Звуковой","не требуется (звуковой способ)",IF($F123&lt;=65,"упрощённая оценка (п. 6.11.3)","нужен расчёт (прил. В / ПО изготовителя)"))</f>
        <v>упрощённая оценка (п. 6.11.3)</v>
      </c>
      <c r="M123" s="7"/>
      <c r="N123" s="12" t="n">
        <f aca="false">VLOOKUP($D123,Категории!$A$5:$C$17,2,FALSE())</f>
        <v>60</v>
      </c>
    </row>
    <row r="124" customFormat="false" ht="23.85" hidden="false" customHeight="false" outlineLevel="0" collapsed="false">
      <c r="A124" s="5" t="n">
        <v>2</v>
      </c>
      <c r="B124" s="6" t="s">
        <v>209</v>
      </c>
      <c r="C124" s="7" t="s">
        <v>109</v>
      </c>
      <c r="D124" s="8" t="s">
        <v>110</v>
      </c>
      <c r="E124" s="9"/>
      <c r="F124" s="10" t="n">
        <f aca="false">IF($E124="",$N124,MAX($N124,INDEX($N$6:$N$225,MATCH($E124,$B$6:$B$225,0))))</f>
        <v>55</v>
      </c>
      <c r="G124" s="7" t="str">
        <f aca="false">IF($E124="",VLOOKUP($D124,Категории!$A$5:$C$17,3,FALSE()),"п. 21 — по пом. "&amp;$E124)</f>
        <v>п. 28</v>
      </c>
      <c r="H124" s="5" t="n">
        <f aca="false">MAX($F124+15,65)</f>
        <v>70</v>
      </c>
      <c r="I124" s="7" t="s">
        <v>111</v>
      </c>
      <c r="J124" s="7" t="s">
        <v>21</v>
      </c>
      <c r="K124" s="11" t="s">
        <v>22</v>
      </c>
      <c r="L124" s="7" t="str">
        <f aca="false">IF($K124="Звуковой","не требуется (звуковой способ)",IF($F124&lt;=65,"упрощённая оценка (п. 6.11.3)","нужен расчёт (прил. В / ПО изготовителя)"))</f>
        <v>упрощённая оценка (п. 6.11.3)</v>
      </c>
      <c r="M124" s="7"/>
      <c r="N124" s="12" t="n">
        <f aca="false">VLOOKUP($D124,Категории!$A$5:$C$17,2,FALSE())</f>
        <v>55</v>
      </c>
    </row>
    <row r="125" customFormat="false" ht="15" hidden="false" customHeight="false" outlineLevel="0" collapsed="false">
      <c r="A125" s="5" t="n">
        <v>2</v>
      </c>
      <c r="B125" s="6" t="s">
        <v>210</v>
      </c>
      <c r="C125" s="7" t="s">
        <v>35</v>
      </c>
      <c r="D125" s="8" t="s">
        <v>36</v>
      </c>
      <c r="E125" s="9"/>
      <c r="F125" s="10" t="n">
        <f aca="false">IF($E125="",$N125,MAX($N125,INDEX($N$6:$N$225,MATCH($E125,$B$6:$B$225,0))))</f>
        <v>60</v>
      </c>
      <c r="G125" s="7" t="str">
        <f aca="false">IF($E125="",VLOOKUP($D125,Категории!$A$5:$C$17,3,FALSE()),"п. 21 — по пом. "&amp;$E125)</f>
        <v>п. 21</v>
      </c>
      <c r="H125" s="5" t="n">
        <f aca="false">MAX($F125+15,65)</f>
        <v>75</v>
      </c>
      <c r="I125" s="7" t="s">
        <v>20</v>
      </c>
      <c r="J125" s="7" t="s">
        <v>21</v>
      </c>
      <c r="K125" s="11" t="s">
        <v>22</v>
      </c>
      <c r="L125" s="7" t="str">
        <f aca="false">IF($K125="Звуковой","не требуется (звуковой способ)",IF($F125&lt;=65,"упрощённая оценка (п. 6.11.3)","нужен расчёт (прил. В / ПО изготовителя)"))</f>
        <v>упрощённая оценка (п. 6.11.3)</v>
      </c>
      <c r="M125" s="7"/>
      <c r="N125" s="12" t="n">
        <f aca="false">VLOOKUP($D125,Категории!$A$5:$C$17,2,FALSE())</f>
        <v>60</v>
      </c>
    </row>
    <row r="126" customFormat="false" ht="23.85" hidden="false" customHeight="false" outlineLevel="0" collapsed="false">
      <c r="A126" s="5" t="n">
        <v>2</v>
      </c>
      <c r="B126" s="6" t="s">
        <v>211</v>
      </c>
      <c r="C126" s="7" t="s">
        <v>109</v>
      </c>
      <c r="D126" s="8" t="s">
        <v>110</v>
      </c>
      <c r="E126" s="9"/>
      <c r="F126" s="10" t="n">
        <f aca="false">IF($E126="",$N126,MAX($N126,INDEX($N$6:$N$225,MATCH($E126,$B$6:$B$225,0))))</f>
        <v>55</v>
      </c>
      <c r="G126" s="7" t="str">
        <f aca="false">IF($E126="",VLOOKUP($D126,Категории!$A$5:$C$17,3,FALSE()),"п. 21 — по пом. "&amp;$E126)</f>
        <v>п. 28</v>
      </c>
      <c r="H126" s="5" t="n">
        <f aca="false">MAX($F126+15,65)</f>
        <v>70</v>
      </c>
      <c r="I126" s="7" t="s">
        <v>111</v>
      </c>
      <c r="J126" s="7" t="s">
        <v>21</v>
      </c>
      <c r="K126" s="11" t="s">
        <v>22</v>
      </c>
      <c r="L126" s="7" t="str">
        <f aca="false">IF($K126="Звуковой","не требуется (звуковой способ)",IF($F126&lt;=65,"упрощённая оценка (п. 6.11.3)","нужен расчёт (прил. В / ПО изготовителя)"))</f>
        <v>упрощённая оценка (п. 6.11.3)</v>
      </c>
      <c r="M126" s="7"/>
      <c r="N126" s="12" t="n">
        <f aca="false">VLOOKUP($D126,Категории!$A$5:$C$17,2,FALSE())</f>
        <v>55</v>
      </c>
    </row>
    <row r="127" customFormat="false" ht="15" hidden="false" customHeight="false" outlineLevel="0" collapsed="false">
      <c r="A127" s="5" t="n">
        <v>2</v>
      </c>
      <c r="B127" s="6" t="s">
        <v>212</v>
      </c>
      <c r="C127" s="7" t="s">
        <v>35</v>
      </c>
      <c r="D127" s="8" t="s">
        <v>36</v>
      </c>
      <c r="E127" s="9"/>
      <c r="F127" s="10" t="n">
        <f aca="false">IF($E127="",$N127,MAX($N127,INDEX($N$6:$N$225,MATCH($E127,$B$6:$B$225,0))))</f>
        <v>60</v>
      </c>
      <c r="G127" s="7" t="str">
        <f aca="false">IF($E127="",VLOOKUP($D127,Категории!$A$5:$C$17,3,FALSE()),"п. 21 — по пом. "&amp;$E127)</f>
        <v>п. 21</v>
      </c>
      <c r="H127" s="5" t="n">
        <f aca="false">MAX($F127+15,65)</f>
        <v>75</v>
      </c>
      <c r="I127" s="7" t="s">
        <v>20</v>
      </c>
      <c r="J127" s="7" t="s">
        <v>21</v>
      </c>
      <c r="K127" s="11" t="s">
        <v>22</v>
      </c>
      <c r="L127" s="7" t="str">
        <f aca="false">IF($K127="Звуковой","не требуется (звуковой способ)",IF($F127&lt;=65,"упрощённая оценка (п. 6.11.3)","нужен расчёт (прил. В / ПО изготовителя)"))</f>
        <v>упрощённая оценка (п. 6.11.3)</v>
      </c>
      <c r="M127" s="7"/>
      <c r="N127" s="12" t="n">
        <f aca="false">VLOOKUP($D127,Категории!$A$5:$C$17,2,FALSE())</f>
        <v>60</v>
      </c>
    </row>
    <row r="128" customFormat="false" ht="23.85" hidden="false" customHeight="false" outlineLevel="0" collapsed="false">
      <c r="A128" s="5" t="n">
        <v>2</v>
      </c>
      <c r="B128" s="6" t="s">
        <v>213</v>
      </c>
      <c r="C128" s="7" t="s">
        <v>109</v>
      </c>
      <c r="D128" s="8" t="s">
        <v>110</v>
      </c>
      <c r="E128" s="9"/>
      <c r="F128" s="10" t="n">
        <f aca="false">IF($E128="",$N128,MAX($N128,INDEX($N$6:$N$225,MATCH($E128,$B$6:$B$225,0))))</f>
        <v>55</v>
      </c>
      <c r="G128" s="7" t="str">
        <f aca="false">IF($E128="",VLOOKUP($D128,Категории!$A$5:$C$17,3,FALSE()),"п. 21 — по пом. "&amp;$E128)</f>
        <v>п. 28</v>
      </c>
      <c r="H128" s="5" t="n">
        <f aca="false">MAX($F128+15,65)</f>
        <v>70</v>
      </c>
      <c r="I128" s="7" t="s">
        <v>111</v>
      </c>
      <c r="J128" s="7" t="s">
        <v>21</v>
      </c>
      <c r="K128" s="11" t="s">
        <v>22</v>
      </c>
      <c r="L128" s="7" t="str">
        <f aca="false">IF($K128="Звуковой","не требуется (звуковой способ)",IF($F128&lt;=65,"упрощённая оценка (п. 6.11.3)","нужен расчёт (прил. В / ПО изготовителя)"))</f>
        <v>упрощённая оценка (п. 6.11.3)</v>
      </c>
      <c r="M128" s="7"/>
      <c r="N128" s="12" t="n">
        <f aca="false">VLOOKUP($D128,Категории!$A$5:$C$17,2,FALSE())</f>
        <v>55</v>
      </c>
    </row>
    <row r="129" customFormat="false" ht="15" hidden="false" customHeight="false" outlineLevel="0" collapsed="false">
      <c r="A129" s="5" t="n">
        <v>2</v>
      </c>
      <c r="B129" s="6" t="s">
        <v>214</v>
      </c>
      <c r="C129" s="7" t="s">
        <v>35</v>
      </c>
      <c r="D129" s="8" t="s">
        <v>36</v>
      </c>
      <c r="E129" s="9"/>
      <c r="F129" s="10" t="n">
        <f aca="false">IF($E129="",$N129,MAX($N129,INDEX($N$6:$N$225,MATCH($E129,$B$6:$B$225,0))))</f>
        <v>60</v>
      </c>
      <c r="G129" s="7" t="str">
        <f aca="false">IF($E129="",VLOOKUP($D129,Категории!$A$5:$C$17,3,FALSE()),"п. 21 — по пом. "&amp;$E129)</f>
        <v>п. 21</v>
      </c>
      <c r="H129" s="5" t="n">
        <f aca="false">MAX($F129+15,65)</f>
        <v>75</v>
      </c>
      <c r="I129" s="7" t="s">
        <v>20</v>
      </c>
      <c r="J129" s="7" t="s">
        <v>21</v>
      </c>
      <c r="K129" s="11" t="s">
        <v>22</v>
      </c>
      <c r="L129" s="7" t="str">
        <f aca="false">IF($K129="Звуковой","не требуется (звуковой способ)",IF($F129&lt;=65,"упрощённая оценка (п. 6.11.3)","нужен расчёт (прил. В / ПО изготовителя)"))</f>
        <v>упрощённая оценка (п. 6.11.3)</v>
      </c>
      <c r="M129" s="7"/>
      <c r="N129" s="12" t="n">
        <f aca="false">VLOOKUP($D129,Категории!$A$5:$C$17,2,FALSE())</f>
        <v>60</v>
      </c>
    </row>
    <row r="130" customFormat="false" ht="15" hidden="false" customHeight="false" outlineLevel="0" collapsed="false">
      <c r="A130" s="5" t="n">
        <v>2</v>
      </c>
      <c r="B130" s="6" t="s">
        <v>215</v>
      </c>
      <c r="C130" s="7" t="s">
        <v>43</v>
      </c>
      <c r="D130" s="8" t="s">
        <v>36</v>
      </c>
      <c r="E130" s="9"/>
      <c r="F130" s="10" t="n">
        <f aca="false">IF($E130="",$N130,MAX($N130,INDEX($N$6:$N$225,MATCH($E130,$B$6:$B$225,0))))</f>
        <v>60</v>
      </c>
      <c r="G130" s="7" t="str">
        <f aca="false">IF($E130="",VLOOKUP($D130,Категории!$A$5:$C$17,3,FALSE()),"п. 21 — по пом. "&amp;$E130)</f>
        <v>п. 21</v>
      </c>
      <c r="H130" s="5" t="n">
        <f aca="false">MAX($F130+15,65)</f>
        <v>75</v>
      </c>
      <c r="I130" s="7" t="s">
        <v>20</v>
      </c>
      <c r="J130" s="7" t="s">
        <v>21</v>
      </c>
      <c r="K130" s="11" t="s">
        <v>22</v>
      </c>
      <c r="L130" s="7" t="str">
        <f aca="false">IF($K130="Звуковой","не требуется (звуковой способ)",IF($F130&lt;=65,"упрощённая оценка (п. 6.11.3)","нужен расчёт (прил. В / ПО изготовителя)"))</f>
        <v>упрощённая оценка (п. 6.11.3)</v>
      </c>
      <c r="M130" s="7"/>
      <c r="N130" s="12" t="n">
        <f aca="false">VLOOKUP($D130,Категории!$A$5:$C$17,2,FALSE())</f>
        <v>60</v>
      </c>
    </row>
    <row r="131" customFormat="false" ht="35.05" hidden="false" customHeight="false" outlineLevel="0" collapsed="false">
      <c r="A131" s="5" t="n">
        <v>2</v>
      </c>
      <c r="B131" s="6" t="s">
        <v>216</v>
      </c>
      <c r="C131" s="7" t="s">
        <v>217</v>
      </c>
      <c r="D131" s="8" t="s">
        <v>46</v>
      </c>
      <c r="E131" s="9"/>
      <c r="F131" s="10" t="n">
        <f aca="false">IF($E131="",$N131,MAX($N131,INDEX($N$6:$N$225,MATCH($E131,$B$6:$B$225,0))))</f>
        <v>60</v>
      </c>
      <c r="G131" s="7" t="str">
        <f aca="false">IF($E131="",VLOOKUP($D131,Категории!$A$5:$C$17,3,FALSE()),"п. 21 — по пом. "&amp;$E131)</f>
        <v>по аналогии с п. 6</v>
      </c>
      <c r="H131" s="5" t="n">
        <f aca="false">MAX($F131+15,65)</f>
        <v>75</v>
      </c>
      <c r="I131" s="13" t="s">
        <v>132</v>
      </c>
      <c r="J131" s="7" t="s">
        <v>32</v>
      </c>
      <c r="K131" s="11" t="s">
        <v>22</v>
      </c>
      <c r="L131" s="7" t="str">
        <f aca="false">IF($K131="Звуковой","не требуется (звуковой способ)",IF($F131&lt;=65,"упрощённая оценка (п. 6.11.3)","нужен расчёт (прил. В / ПО изготовителя)"))</f>
        <v>упрощённая оценка (п. 6.11.3)</v>
      </c>
      <c r="M131" s="7"/>
      <c r="N131" s="12" t="n">
        <f aca="false">VLOOKUP($D131,Категории!$A$5:$C$17,2,FALSE())</f>
        <v>60</v>
      </c>
    </row>
    <row r="132" customFormat="false" ht="35.05" hidden="false" customHeight="false" outlineLevel="0" collapsed="false">
      <c r="A132" s="5" t="n">
        <v>2</v>
      </c>
      <c r="B132" s="6" t="s">
        <v>218</v>
      </c>
      <c r="C132" s="7" t="s">
        <v>217</v>
      </c>
      <c r="D132" s="8" t="s">
        <v>46</v>
      </c>
      <c r="E132" s="9"/>
      <c r="F132" s="10" t="n">
        <f aca="false">IF($E132="",$N132,MAX($N132,INDEX($N$6:$N$225,MATCH($E132,$B$6:$B$225,0))))</f>
        <v>60</v>
      </c>
      <c r="G132" s="7" t="str">
        <f aca="false">IF($E132="",VLOOKUP($D132,Категории!$A$5:$C$17,3,FALSE()),"п. 21 — по пом. "&amp;$E132)</f>
        <v>по аналогии с п. 6</v>
      </c>
      <c r="H132" s="5" t="n">
        <f aca="false">MAX($F132+15,65)</f>
        <v>75</v>
      </c>
      <c r="I132" s="13" t="s">
        <v>132</v>
      </c>
      <c r="J132" s="7" t="s">
        <v>32</v>
      </c>
      <c r="K132" s="11" t="s">
        <v>22</v>
      </c>
      <c r="L132" s="7" t="str">
        <f aca="false">IF($K132="Звуковой","не требуется (звуковой способ)",IF($F132&lt;=65,"упрощённая оценка (п. 6.11.3)","нужен расчёт (прил. В / ПО изготовителя)"))</f>
        <v>упрощённая оценка (п. 6.11.3)</v>
      </c>
      <c r="M132" s="7"/>
      <c r="N132" s="12" t="n">
        <f aca="false">VLOOKUP($D132,Категории!$A$5:$C$17,2,FALSE())</f>
        <v>60</v>
      </c>
    </row>
    <row r="133" customFormat="false" ht="15" hidden="false" customHeight="false" outlineLevel="0" collapsed="false">
      <c r="A133" s="5" t="n">
        <v>2</v>
      </c>
      <c r="B133" s="6" t="s">
        <v>219</v>
      </c>
      <c r="C133" s="7" t="s">
        <v>35</v>
      </c>
      <c r="D133" s="8" t="s">
        <v>36</v>
      </c>
      <c r="E133" s="9"/>
      <c r="F133" s="10" t="n">
        <f aca="false">IF($E133="",$N133,MAX($N133,INDEX($N$6:$N$225,MATCH($E133,$B$6:$B$225,0))))</f>
        <v>60</v>
      </c>
      <c r="G133" s="7" t="str">
        <f aca="false">IF($E133="",VLOOKUP($D133,Категории!$A$5:$C$17,3,FALSE()),"п. 21 — по пом. "&amp;$E133)</f>
        <v>п. 21</v>
      </c>
      <c r="H133" s="5" t="n">
        <f aca="false">MAX($F133+15,65)</f>
        <v>75</v>
      </c>
      <c r="I133" s="7" t="s">
        <v>20</v>
      </c>
      <c r="J133" s="7" t="s">
        <v>21</v>
      </c>
      <c r="K133" s="11" t="s">
        <v>22</v>
      </c>
      <c r="L133" s="7" t="str">
        <f aca="false">IF($K133="Звуковой","не требуется (звуковой способ)",IF($F133&lt;=65,"упрощённая оценка (п. 6.11.3)","нужен расчёт (прил. В / ПО изготовителя)"))</f>
        <v>упрощённая оценка (п. 6.11.3)</v>
      </c>
      <c r="M133" s="7"/>
      <c r="N133" s="12" t="n">
        <f aca="false">VLOOKUP($D133,Категории!$A$5:$C$17,2,FALSE())</f>
        <v>60</v>
      </c>
    </row>
    <row r="134" customFormat="false" ht="15" hidden="false" customHeight="false" outlineLevel="0" collapsed="false">
      <c r="A134" s="5" t="n">
        <v>2</v>
      </c>
      <c r="B134" s="6" t="s">
        <v>220</v>
      </c>
      <c r="C134" s="7" t="s">
        <v>221</v>
      </c>
      <c r="D134" s="8" t="s">
        <v>46</v>
      </c>
      <c r="E134" s="9"/>
      <c r="F134" s="10" t="n">
        <f aca="false">IF($E134="",$N134,MAX($N134,INDEX($N$6:$N$225,MATCH($E134,$B$6:$B$225,0))))</f>
        <v>60</v>
      </c>
      <c r="G134" s="7" t="str">
        <f aca="false">IF($E134="",VLOOKUP($D134,Категории!$A$5:$C$17,3,FALSE()),"п. 21 — по пом. "&amp;$E134)</f>
        <v>по аналогии с п. 6</v>
      </c>
      <c r="H134" s="5" t="n">
        <f aca="false">MAX($F134+15,65)</f>
        <v>75</v>
      </c>
      <c r="I134" s="7" t="s">
        <v>20</v>
      </c>
      <c r="J134" s="7" t="s">
        <v>21</v>
      </c>
      <c r="K134" s="11" t="s">
        <v>22</v>
      </c>
      <c r="L134" s="7" t="str">
        <f aca="false">IF($K134="Звуковой","не требуется (звуковой способ)",IF($F134&lt;=65,"упрощённая оценка (п. 6.11.3)","нужен расчёт (прил. В / ПО изготовителя)"))</f>
        <v>упрощённая оценка (п. 6.11.3)</v>
      </c>
      <c r="M134" s="7"/>
      <c r="N134" s="12" t="n">
        <f aca="false">VLOOKUP($D134,Категории!$A$5:$C$17,2,FALSE())</f>
        <v>60</v>
      </c>
    </row>
    <row r="135" customFormat="false" ht="15" hidden="false" customHeight="false" outlineLevel="0" collapsed="false">
      <c r="A135" s="5" t="n">
        <v>2</v>
      </c>
      <c r="B135" s="6" t="s">
        <v>222</v>
      </c>
      <c r="C135" s="7" t="s">
        <v>57</v>
      </c>
      <c r="D135" s="8" t="s">
        <v>58</v>
      </c>
      <c r="E135" s="9"/>
      <c r="F135" s="10" t="n">
        <f aca="false">IF($E135="",$N135,MAX($N135,INDEX($N$6:$N$225,MATCH($E135,$B$6:$B$225,0))))</f>
        <v>60</v>
      </c>
      <c r="G135" s="7" t="str">
        <f aca="false">IF($E135="",VLOOKUP($D135,Категории!$A$5:$C$17,3,FALSE()),"п. 21 — по пом. "&amp;$E135)</f>
        <v>п. 6</v>
      </c>
      <c r="H135" s="5" t="n">
        <f aca="false">MAX($F135+15,65)</f>
        <v>75</v>
      </c>
      <c r="I135" s="7" t="s">
        <v>20</v>
      </c>
      <c r="J135" s="7" t="s">
        <v>21</v>
      </c>
      <c r="K135" s="11" t="s">
        <v>22</v>
      </c>
      <c r="L135" s="7" t="str">
        <f aca="false">IF($K135="Звуковой","не требуется (звуковой способ)",IF($F135&lt;=65,"упрощённая оценка (п. 6.11.3)","нужен расчёт (прил. В / ПО изготовителя)"))</f>
        <v>упрощённая оценка (п. 6.11.3)</v>
      </c>
      <c r="M135" s="7"/>
      <c r="N135" s="12" t="n">
        <f aca="false">VLOOKUP($D135,Категории!$A$5:$C$17,2,FALSE())</f>
        <v>60</v>
      </c>
    </row>
    <row r="136" customFormat="false" ht="23.85" hidden="false" customHeight="false" outlineLevel="0" collapsed="false">
      <c r="A136" s="5" t="n">
        <v>2</v>
      </c>
      <c r="B136" s="6" t="s">
        <v>223</v>
      </c>
      <c r="C136" s="7" t="s">
        <v>224</v>
      </c>
      <c r="D136" s="8" t="s">
        <v>74</v>
      </c>
      <c r="E136" s="9"/>
      <c r="F136" s="10" t="n">
        <f aca="false">IF($E136="",$N136,MAX($N136,INDEX($N$6:$N$225,MATCH($E136,$B$6:$B$225,0))))</f>
        <v>70</v>
      </c>
      <c r="G136" s="7" t="str">
        <f aca="false">IF($E136="",VLOOKUP($D136,Категории!$A$5:$C$17,3,FALSE()),"п. 21 — по пом. "&amp;$E136)</f>
        <v>п. 16</v>
      </c>
      <c r="H136" s="5" t="n">
        <f aca="false">MAX($F136+15,65)</f>
        <v>85</v>
      </c>
      <c r="I136" s="7" t="s">
        <v>20</v>
      </c>
      <c r="J136" s="7" t="s">
        <v>21</v>
      </c>
      <c r="K136" s="11" t="s">
        <v>22</v>
      </c>
      <c r="L136" s="7" t="str">
        <f aca="false">IF($K136="Звуковой","не требуется (звуковой способ)",IF($F136&lt;=65,"упрощённая оценка (п. 6.11.3)","нужен расчёт (прил. В / ПО изготовителя)"))</f>
        <v>нужен расчёт (прил. В / ПО изготовителя)</v>
      </c>
      <c r="M136" s="7" t="s">
        <v>225</v>
      </c>
      <c r="N136" s="12" t="n">
        <f aca="false">VLOOKUP($D136,Категории!$A$5:$C$17,2,FALSE())</f>
        <v>70</v>
      </c>
    </row>
    <row r="137" customFormat="false" ht="23.85" hidden="false" customHeight="false" outlineLevel="0" collapsed="false">
      <c r="A137" s="5" t="n">
        <v>2</v>
      </c>
      <c r="B137" s="6" t="s">
        <v>226</v>
      </c>
      <c r="C137" s="7" t="s">
        <v>35</v>
      </c>
      <c r="D137" s="8" t="s">
        <v>36</v>
      </c>
      <c r="E137" s="9" t="s">
        <v>227</v>
      </c>
      <c r="F137" s="10" t="n">
        <f aca="false">IF($E137="",$N137,MAX($N137,INDEX($N$6:$N$225,MATCH($E137,$B$6:$B$225,0))))</f>
        <v>80</v>
      </c>
      <c r="G137" s="7" t="str">
        <f aca="false">IF($E137="",VLOOKUP($D137,Категории!$A$5:$C$17,3,FALSE()),"п. 21 — по пом. "&amp;$E137)</f>
        <v>п. 21 — по пом. 132</v>
      </c>
      <c r="H137" s="5" t="n">
        <f aca="false">MAX($F137+15,65)</f>
        <v>95</v>
      </c>
      <c r="I137" s="7" t="s">
        <v>20</v>
      </c>
      <c r="J137" s="7" t="s">
        <v>21</v>
      </c>
      <c r="K137" s="11" t="s">
        <v>22</v>
      </c>
      <c r="L137" s="7" t="str">
        <f aca="false">IF($K137="Звуковой","не требуется (звуковой способ)",IF($F137&lt;=65,"упрощённая оценка (п. 6.11.3)","нужен расчёт (прил. В / ПО изготовителя)"))</f>
        <v>нужен расчёт (прил. В / ПО изготовителя)</v>
      </c>
      <c r="M137" s="7" t="s">
        <v>228</v>
      </c>
      <c r="N137" s="12" t="n">
        <f aca="false">VLOOKUP($D137,Категории!$A$5:$C$17,2,FALSE())</f>
        <v>60</v>
      </c>
    </row>
    <row r="138" customFormat="false" ht="35.05" hidden="false" customHeight="false" outlineLevel="0" collapsed="false">
      <c r="A138" s="5" t="n">
        <v>2</v>
      </c>
      <c r="B138" s="6" t="s">
        <v>229</v>
      </c>
      <c r="C138" s="7" t="s">
        <v>45</v>
      </c>
      <c r="D138" s="8" t="s">
        <v>46</v>
      </c>
      <c r="E138" s="9"/>
      <c r="F138" s="10" t="n">
        <f aca="false">IF($E138="",$N138,MAX($N138,INDEX($N$6:$N$225,MATCH($E138,$B$6:$B$225,0))))</f>
        <v>60</v>
      </c>
      <c r="G138" s="7" t="str">
        <f aca="false">IF($E138="",VLOOKUP($D138,Категории!$A$5:$C$17,3,FALSE()),"п. 21 — по пом. "&amp;$E138)</f>
        <v>по аналогии с п. 6</v>
      </c>
      <c r="H138" s="5" t="n">
        <f aca="false">MAX($F138+15,65)</f>
        <v>75</v>
      </c>
      <c r="I138" s="13" t="s">
        <v>47</v>
      </c>
      <c r="J138" s="7" t="s">
        <v>32</v>
      </c>
      <c r="K138" s="11" t="s">
        <v>22</v>
      </c>
      <c r="L138" s="7" t="str">
        <f aca="false">IF($K138="Звуковой","не требуется (звуковой способ)",IF($F138&lt;=65,"упрощённая оценка (п. 6.11.3)","нужен расчёт (прил. В / ПО изготовителя)"))</f>
        <v>упрощённая оценка (п. 6.11.3)</v>
      </c>
      <c r="M138" s="7"/>
      <c r="N138" s="12" t="n">
        <f aca="false">VLOOKUP($D138,Категории!$A$5:$C$17,2,FALSE())</f>
        <v>60</v>
      </c>
    </row>
    <row r="139" customFormat="false" ht="35.05" hidden="false" customHeight="false" outlineLevel="0" collapsed="false">
      <c r="A139" s="5" t="n">
        <v>2</v>
      </c>
      <c r="B139" s="6" t="s">
        <v>227</v>
      </c>
      <c r="C139" s="7" t="s">
        <v>230</v>
      </c>
      <c r="D139" s="8" t="s">
        <v>230</v>
      </c>
      <c r="E139" s="9"/>
      <c r="F139" s="10" t="n">
        <f aca="false">IF($E139="",$N139,MAX($N139,INDEX($N$6:$N$225,MATCH($E139,$B$6:$B$225,0))))</f>
        <v>80</v>
      </c>
      <c r="G139" s="7" t="str">
        <f aca="false">IF($E139="",VLOOKUP($D139,Категории!$A$5:$C$17,3,FALSE()),"п. 21 — по пом. "&amp;$E139)</f>
        <v>п. 23</v>
      </c>
      <c r="H139" s="5" t="n">
        <f aca="false">MAX($F139+15,65)</f>
        <v>95</v>
      </c>
      <c r="I139" s="14" t="s">
        <v>231</v>
      </c>
      <c r="J139" s="7" t="s">
        <v>32</v>
      </c>
      <c r="K139" s="11" t="s">
        <v>136</v>
      </c>
      <c r="L139" s="7" t="str">
        <f aca="false">IF($K139="Звуковой","не требуется (звуковой способ)",IF($F139&lt;=65,"упрощённая оценка (п. 6.11.3)","нужен расчёт (прил. В / ПО изготовителя)"))</f>
        <v>не требуется (звуковой способ)</v>
      </c>
      <c r="M139" s="7" t="s">
        <v>232</v>
      </c>
      <c r="N139" s="12" t="n">
        <f aca="false">VLOOKUP($D139,Категории!$A$5:$C$17,2,FALSE())</f>
        <v>80</v>
      </c>
    </row>
    <row r="140" customFormat="false" ht="35.05" hidden="false" customHeight="false" outlineLevel="0" collapsed="false">
      <c r="A140" s="5" t="n">
        <v>2</v>
      </c>
      <c r="B140" s="6" t="s">
        <v>233</v>
      </c>
      <c r="C140" s="7" t="s">
        <v>45</v>
      </c>
      <c r="D140" s="8" t="s">
        <v>46</v>
      </c>
      <c r="E140" s="9"/>
      <c r="F140" s="10" t="n">
        <f aca="false">IF($E140="",$N140,MAX($N140,INDEX($N$6:$N$225,MATCH($E140,$B$6:$B$225,0))))</f>
        <v>60</v>
      </c>
      <c r="G140" s="7" t="str">
        <f aca="false">IF($E140="",VLOOKUP($D140,Категории!$A$5:$C$17,3,FALSE()),"п. 21 — по пом. "&amp;$E140)</f>
        <v>по аналогии с п. 6</v>
      </c>
      <c r="H140" s="5" t="n">
        <f aca="false">MAX($F140+15,65)</f>
        <v>75</v>
      </c>
      <c r="I140" s="13" t="s">
        <v>47</v>
      </c>
      <c r="J140" s="7" t="s">
        <v>32</v>
      </c>
      <c r="K140" s="11" t="s">
        <v>22</v>
      </c>
      <c r="L140" s="7" t="str">
        <f aca="false">IF($K140="Звуковой","не требуется (звуковой способ)",IF($F140&lt;=65,"упрощённая оценка (п. 6.11.3)","нужен расчёт (прил. В / ПО изготовителя)"))</f>
        <v>упрощённая оценка (п. 6.11.3)</v>
      </c>
      <c r="M140" s="7"/>
      <c r="N140" s="12" t="n">
        <f aca="false">VLOOKUP($D140,Категории!$A$5:$C$17,2,FALSE())</f>
        <v>60</v>
      </c>
    </row>
    <row r="141" customFormat="false" ht="15" hidden="false" customHeight="false" outlineLevel="0" collapsed="false">
      <c r="A141" s="5" t="n">
        <v>2</v>
      </c>
      <c r="B141" s="6" t="s">
        <v>234</v>
      </c>
      <c r="C141" s="7" t="s">
        <v>35</v>
      </c>
      <c r="D141" s="8" t="s">
        <v>36</v>
      </c>
      <c r="E141" s="9"/>
      <c r="F141" s="10" t="n">
        <f aca="false">IF($E141="",$N141,MAX($N141,INDEX($N$6:$N$225,MATCH($E141,$B$6:$B$225,0))))</f>
        <v>60</v>
      </c>
      <c r="G141" s="7" t="str">
        <f aca="false">IF($E141="",VLOOKUP($D141,Категории!$A$5:$C$17,3,FALSE()),"п. 21 — по пом. "&amp;$E141)</f>
        <v>п. 21</v>
      </c>
      <c r="H141" s="5" t="n">
        <f aca="false">MAX($F141+15,65)</f>
        <v>75</v>
      </c>
      <c r="I141" s="7" t="s">
        <v>20</v>
      </c>
      <c r="J141" s="7" t="s">
        <v>21</v>
      </c>
      <c r="K141" s="11" t="s">
        <v>22</v>
      </c>
      <c r="L141" s="7" t="str">
        <f aca="false">IF($K141="Звуковой","не требуется (звуковой способ)",IF($F141&lt;=65,"упрощённая оценка (п. 6.11.3)","нужен расчёт (прил. В / ПО изготовителя)"))</f>
        <v>упрощённая оценка (п. 6.11.3)</v>
      </c>
      <c r="M141" s="7"/>
      <c r="N141" s="12" t="n">
        <f aca="false">VLOOKUP($D141,Категории!$A$5:$C$17,2,FALSE())</f>
        <v>60</v>
      </c>
    </row>
    <row r="142" customFormat="false" ht="35.05" hidden="false" customHeight="false" outlineLevel="0" collapsed="false">
      <c r="A142" s="5" t="n">
        <v>2</v>
      </c>
      <c r="B142" s="6" t="s">
        <v>235</v>
      </c>
      <c r="C142" s="7" t="s">
        <v>45</v>
      </c>
      <c r="D142" s="8" t="s">
        <v>46</v>
      </c>
      <c r="E142" s="9"/>
      <c r="F142" s="10" t="n">
        <f aca="false">IF($E142="",$N142,MAX($N142,INDEX($N$6:$N$225,MATCH($E142,$B$6:$B$225,0))))</f>
        <v>60</v>
      </c>
      <c r="G142" s="7" t="str">
        <f aca="false">IF($E142="",VLOOKUP($D142,Категории!$A$5:$C$17,3,FALSE()),"п. 21 — по пом. "&amp;$E142)</f>
        <v>по аналогии с п. 6</v>
      </c>
      <c r="H142" s="5" t="n">
        <f aca="false">MAX($F142+15,65)</f>
        <v>75</v>
      </c>
      <c r="I142" s="13" t="s">
        <v>47</v>
      </c>
      <c r="J142" s="7" t="s">
        <v>32</v>
      </c>
      <c r="K142" s="11" t="s">
        <v>22</v>
      </c>
      <c r="L142" s="7" t="str">
        <f aca="false">IF($K142="Звуковой","не требуется (звуковой способ)",IF($F142&lt;=65,"упрощённая оценка (п. 6.11.3)","нужен расчёт (прил. В / ПО изготовителя)"))</f>
        <v>упрощённая оценка (п. 6.11.3)</v>
      </c>
      <c r="M142" s="7"/>
      <c r="N142" s="12" t="n">
        <f aca="false">VLOOKUP($D142,Категории!$A$5:$C$17,2,FALSE())</f>
        <v>60</v>
      </c>
    </row>
    <row r="143" customFormat="false" ht="35.05" hidden="false" customHeight="false" outlineLevel="0" collapsed="false">
      <c r="A143" s="5" t="n">
        <v>2</v>
      </c>
      <c r="B143" s="6" t="s">
        <v>236</v>
      </c>
      <c r="C143" s="7" t="s">
        <v>45</v>
      </c>
      <c r="D143" s="8" t="s">
        <v>46</v>
      </c>
      <c r="E143" s="9"/>
      <c r="F143" s="10" t="n">
        <f aca="false">IF($E143="",$N143,MAX($N143,INDEX($N$6:$N$225,MATCH($E143,$B$6:$B$225,0))))</f>
        <v>60</v>
      </c>
      <c r="G143" s="7" t="str">
        <f aca="false">IF($E143="",VLOOKUP($D143,Категории!$A$5:$C$17,3,FALSE()),"п. 21 — по пом. "&amp;$E143)</f>
        <v>по аналогии с п. 6</v>
      </c>
      <c r="H143" s="5" t="n">
        <f aca="false">MAX($F143+15,65)</f>
        <v>75</v>
      </c>
      <c r="I143" s="13" t="s">
        <v>47</v>
      </c>
      <c r="J143" s="7" t="s">
        <v>32</v>
      </c>
      <c r="K143" s="11" t="s">
        <v>22</v>
      </c>
      <c r="L143" s="7" t="str">
        <f aca="false">IF($K143="Звуковой","не требуется (звуковой способ)",IF($F143&lt;=65,"упрощённая оценка (п. 6.11.3)","нужен расчёт (прил. В / ПО изготовителя)"))</f>
        <v>упрощённая оценка (п. 6.11.3)</v>
      </c>
      <c r="M143" s="7"/>
      <c r="N143" s="12" t="n">
        <f aca="false">VLOOKUP($D143,Категории!$A$5:$C$17,2,FALSE())</f>
        <v>60</v>
      </c>
    </row>
    <row r="144" customFormat="false" ht="23.85" hidden="false" customHeight="false" outlineLevel="0" collapsed="false">
      <c r="A144" s="5" t="n">
        <v>2</v>
      </c>
      <c r="B144" s="6" t="s">
        <v>237</v>
      </c>
      <c r="C144" s="7" t="s">
        <v>238</v>
      </c>
      <c r="D144" s="8" t="s">
        <v>36</v>
      </c>
      <c r="E144" s="9" t="s">
        <v>223</v>
      </c>
      <c r="F144" s="10" t="n">
        <f aca="false">IF($E144="",$N144,MAX($N144,INDEX($N$6:$N$225,MATCH($E144,$B$6:$B$225,0))))</f>
        <v>70</v>
      </c>
      <c r="G144" s="7" t="str">
        <f aca="false">IF($E144="",VLOOKUP($D144,Категории!$A$5:$C$17,3,FALSE()),"п. 21 — по пом. "&amp;$E144)</f>
        <v>п. 21 — по пом. 129</v>
      </c>
      <c r="H144" s="5" t="n">
        <f aca="false">MAX($F144+15,65)</f>
        <v>85</v>
      </c>
      <c r="I144" s="7" t="s">
        <v>20</v>
      </c>
      <c r="J144" s="7" t="s">
        <v>21</v>
      </c>
      <c r="K144" s="11" t="s">
        <v>22</v>
      </c>
      <c r="L144" s="7" t="str">
        <f aca="false">IF($K144="Звуковой","не требуется (звуковой способ)",IF($F144&lt;=65,"упрощённая оценка (п. 6.11.3)","нужен расчёт (прил. В / ПО изготовителя)"))</f>
        <v>нужен расчёт (прил. В / ПО изготовителя)</v>
      </c>
      <c r="M144" s="7" t="s">
        <v>239</v>
      </c>
      <c r="N144" s="12" t="n">
        <f aca="false">VLOOKUP($D144,Категории!$A$5:$C$17,2,FALSE())</f>
        <v>60</v>
      </c>
    </row>
    <row r="145" customFormat="false" ht="15" hidden="false" customHeight="false" outlineLevel="0" collapsed="false">
      <c r="A145" s="5" t="n">
        <v>3</v>
      </c>
      <c r="B145" s="6" t="s">
        <v>240</v>
      </c>
      <c r="C145" s="7" t="s">
        <v>158</v>
      </c>
      <c r="D145" s="8" t="s">
        <v>58</v>
      </c>
      <c r="E145" s="9"/>
      <c r="F145" s="10" t="n">
        <f aca="false">IF($E145="",$N145,MAX($N145,INDEX($N$6:$N$225,MATCH($E145,$B$6:$B$225,0))))</f>
        <v>60</v>
      </c>
      <c r="G145" s="7" t="str">
        <f aca="false">IF($E145="",VLOOKUP($D145,Категории!$A$5:$C$17,3,FALSE()),"п. 21 — по пом. "&amp;$E145)</f>
        <v>п. 6</v>
      </c>
      <c r="H145" s="5" t="n">
        <f aca="false">MAX($F145+15,65)</f>
        <v>75</v>
      </c>
      <c r="I145" s="7" t="s">
        <v>20</v>
      </c>
      <c r="J145" s="7" t="s">
        <v>21</v>
      </c>
      <c r="K145" s="11" t="s">
        <v>22</v>
      </c>
      <c r="L145" s="7" t="str">
        <f aca="false">IF($K145="Звуковой","не требуется (звуковой способ)",IF($F145&lt;=65,"упрощённая оценка (п. 6.11.3)","нужен расчёт (прил. В / ПО изготовителя)"))</f>
        <v>упрощённая оценка (п. 6.11.3)</v>
      </c>
      <c r="M145" s="7"/>
      <c r="N145" s="12" t="n">
        <f aca="false">VLOOKUP($D145,Категории!$A$5:$C$17,2,FALSE())</f>
        <v>60</v>
      </c>
    </row>
    <row r="146" customFormat="false" ht="15" hidden="false" customHeight="false" outlineLevel="0" collapsed="false">
      <c r="A146" s="5" t="n">
        <v>3</v>
      </c>
      <c r="B146" s="6" t="s">
        <v>241</v>
      </c>
      <c r="C146" s="7" t="s">
        <v>61</v>
      </c>
      <c r="D146" s="8" t="s">
        <v>58</v>
      </c>
      <c r="E146" s="9"/>
      <c r="F146" s="10" t="n">
        <f aca="false">IF($E146="",$N146,MAX($N146,INDEX($N$6:$N$225,MATCH($E146,$B$6:$B$225,0))))</f>
        <v>60</v>
      </c>
      <c r="G146" s="7" t="str">
        <f aca="false">IF($E146="",VLOOKUP($D146,Категории!$A$5:$C$17,3,FALSE()),"п. 21 — по пом. "&amp;$E146)</f>
        <v>п. 6</v>
      </c>
      <c r="H146" s="5" t="n">
        <f aca="false">MAX($F146+15,65)</f>
        <v>75</v>
      </c>
      <c r="I146" s="7" t="s">
        <v>20</v>
      </c>
      <c r="J146" s="7" t="s">
        <v>21</v>
      </c>
      <c r="K146" s="11" t="s">
        <v>22</v>
      </c>
      <c r="L146" s="7" t="str">
        <f aca="false">IF($K146="Звуковой","не требуется (звуковой способ)",IF($F146&lt;=65,"упрощённая оценка (п. 6.11.3)","нужен расчёт (прил. В / ПО изготовителя)"))</f>
        <v>упрощённая оценка (п. 6.11.3)</v>
      </c>
      <c r="M146" s="7"/>
      <c r="N146" s="12" t="n">
        <f aca="false">VLOOKUP($D146,Категории!$A$5:$C$17,2,FALSE())</f>
        <v>60</v>
      </c>
    </row>
    <row r="147" customFormat="false" ht="15" hidden="false" customHeight="false" outlineLevel="0" collapsed="false">
      <c r="A147" s="5" t="n">
        <v>3</v>
      </c>
      <c r="B147" s="6" t="s">
        <v>242</v>
      </c>
      <c r="C147" s="7" t="s">
        <v>158</v>
      </c>
      <c r="D147" s="8" t="s">
        <v>58</v>
      </c>
      <c r="E147" s="9"/>
      <c r="F147" s="10" t="n">
        <f aca="false">IF($E147="",$N147,MAX($N147,INDEX($N$6:$N$225,MATCH($E147,$B$6:$B$225,0))))</f>
        <v>60</v>
      </c>
      <c r="G147" s="7" t="str">
        <f aca="false">IF($E147="",VLOOKUP($D147,Категории!$A$5:$C$17,3,FALSE()),"п. 21 — по пом. "&amp;$E147)</f>
        <v>п. 6</v>
      </c>
      <c r="H147" s="5" t="n">
        <f aca="false">MAX($F147+15,65)</f>
        <v>75</v>
      </c>
      <c r="I147" s="7" t="s">
        <v>20</v>
      </c>
      <c r="J147" s="7" t="s">
        <v>21</v>
      </c>
      <c r="K147" s="11" t="s">
        <v>22</v>
      </c>
      <c r="L147" s="7" t="str">
        <f aca="false">IF($K147="Звуковой","не требуется (звуковой способ)",IF($F147&lt;=65,"упрощённая оценка (п. 6.11.3)","нужен расчёт (прил. В / ПО изготовителя)"))</f>
        <v>упрощённая оценка (п. 6.11.3)</v>
      </c>
      <c r="M147" s="7"/>
      <c r="N147" s="12" t="n">
        <f aca="false">VLOOKUP($D147,Категории!$A$5:$C$17,2,FALSE())</f>
        <v>60</v>
      </c>
    </row>
    <row r="148" customFormat="false" ht="15" hidden="false" customHeight="false" outlineLevel="0" collapsed="false">
      <c r="A148" s="5" t="n">
        <v>3</v>
      </c>
      <c r="B148" s="6" t="s">
        <v>243</v>
      </c>
      <c r="C148" s="7" t="s">
        <v>61</v>
      </c>
      <c r="D148" s="8" t="s">
        <v>58</v>
      </c>
      <c r="E148" s="9"/>
      <c r="F148" s="10" t="n">
        <f aca="false">IF($E148="",$N148,MAX($N148,INDEX($N$6:$N$225,MATCH($E148,$B$6:$B$225,0))))</f>
        <v>60</v>
      </c>
      <c r="G148" s="7" t="str">
        <f aca="false">IF($E148="",VLOOKUP($D148,Категории!$A$5:$C$17,3,FALSE()),"п. 21 — по пом. "&amp;$E148)</f>
        <v>п. 6</v>
      </c>
      <c r="H148" s="5" t="n">
        <f aca="false">MAX($F148+15,65)</f>
        <v>75</v>
      </c>
      <c r="I148" s="7" t="s">
        <v>20</v>
      </c>
      <c r="J148" s="7" t="s">
        <v>21</v>
      </c>
      <c r="K148" s="11" t="s">
        <v>22</v>
      </c>
      <c r="L148" s="7" t="str">
        <f aca="false">IF($K148="Звуковой","не требуется (звуковой способ)",IF($F148&lt;=65,"упрощённая оценка (п. 6.11.3)","нужен расчёт (прил. В / ПО изготовителя)"))</f>
        <v>упрощённая оценка (п. 6.11.3)</v>
      </c>
      <c r="M148" s="7"/>
      <c r="N148" s="12" t="n">
        <f aca="false">VLOOKUP($D148,Категории!$A$5:$C$17,2,FALSE())</f>
        <v>60</v>
      </c>
    </row>
    <row r="149" customFormat="false" ht="15" hidden="false" customHeight="false" outlineLevel="0" collapsed="false">
      <c r="A149" s="5" t="n">
        <v>3</v>
      </c>
      <c r="B149" s="6" t="s">
        <v>244</v>
      </c>
      <c r="C149" s="7" t="s">
        <v>43</v>
      </c>
      <c r="D149" s="8" t="s">
        <v>36</v>
      </c>
      <c r="E149" s="9"/>
      <c r="F149" s="10" t="n">
        <f aca="false">IF($E149="",$N149,MAX($N149,INDEX($N$6:$N$225,MATCH($E149,$B$6:$B$225,0))))</f>
        <v>60</v>
      </c>
      <c r="G149" s="7" t="str">
        <f aca="false">IF($E149="",VLOOKUP($D149,Категории!$A$5:$C$17,3,FALSE()),"п. 21 — по пом. "&amp;$E149)</f>
        <v>п. 21</v>
      </c>
      <c r="H149" s="5" t="n">
        <f aca="false">MAX($F149+15,65)</f>
        <v>75</v>
      </c>
      <c r="I149" s="7" t="s">
        <v>20</v>
      </c>
      <c r="J149" s="7" t="s">
        <v>21</v>
      </c>
      <c r="K149" s="11" t="s">
        <v>22</v>
      </c>
      <c r="L149" s="7" t="str">
        <f aca="false">IF($K149="Звуковой","не требуется (звуковой способ)",IF($F149&lt;=65,"упрощённая оценка (п. 6.11.3)","нужен расчёт (прил. В / ПО изготовителя)"))</f>
        <v>упрощённая оценка (п. 6.11.3)</v>
      </c>
      <c r="M149" s="7"/>
      <c r="N149" s="12" t="n">
        <f aca="false">VLOOKUP($D149,Категории!$A$5:$C$17,2,FALSE())</f>
        <v>60</v>
      </c>
    </row>
    <row r="150" customFormat="false" ht="15" hidden="false" customHeight="false" outlineLevel="0" collapsed="false">
      <c r="A150" s="5" t="n">
        <v>3</v>
      </c>
      <c r="B150" s="6" t="s">
        <v>245</v>
      </c>
      <c r="C150" s="7" t="s">
        <v>61</v>
      </c>
      <c r="D150" s="8" t="s">
        <v>58</v>
      </c>
      <c r="E150" s="9"/>
      <c r="F150" s="10" t="n">
        <f aca="false">IF($E150="",$N150,MAX($N150,INDEX($N$6:$N$225,MATCH($E150,$B$6:$B$225,0))))</f>
        <v>60</v>
      </c>
      <c r="G150" s="7" t="str">
        <f aca="false">IF($E150="",VLOOKUP($D150,Категории!$A$5:$C$17,3,FALSE()),"п. 21 — по пом. "&amp;$E150)</f>
        <v>п. 6</v>
      </c>
      <c r="H150" s="5" t="n">
        <f aca="false">MAX($F150+15,65)</f>
        <v>75</v>
      </c>
      <c r="I150" s="7" t="s">
        <v>20</v>
      </c>
      <c r="J150" s="7" t="s">
        <v>21</v>
      </c>
      <c r="K150" s="11" t="s">
        <v>22</v>
      </c>
      <c r="L150" s="7" t="str">
        <f aca="false">IF($K150="Звуковой","не требуется (звуковой способ)",IF($F150&lt;=65,"упрощённая оценка (п. 6.11.3)","нужен расчёт (прил. В / ПО изготовителя)"))</f>
        <v>упрощённая оценка (п. 6.11.3)</v>
      </c>
      <c r="M150" s="7"/>
      <c r="N150" s="12" t="n">
        <f aca="false">VLOOKUP($D150,Категории!$A$5:$C$17,2,FALSE())</f>
        <v>60</v>
      </c>
    </row>
    <row r="151" customFormat="false" ht="15" hidden="false" customHeight="false" outlineLevel="0" collapsed="false">
      <c r="A151" s="5" t="n">
        <v>3</v>
      </c>
      <c r="B151" s="6" t="s">
        <v>246</v>
      </c>
      <c r="C151" s="7" t="s">
        <v>158</v>
      </c>
      <c r="D151" s="8" t="s">
        <v>58</v>
      </c>
      <c r="E151" s="9"/>
      <c r="F151" s="10" t="n">
        <f aca="false">IF($E151="",$N151,MAX($N151,INDEX($N$6:$N$225,MATCH($E151,$B$6:$B$225,0))))</f>
        <v>60</v>
      </c>
      <c r="G151" s="7" t="str">
        <f aca="false">IF($E151="",VLOOKUP($D151,Категории!$A$5:$C$17,3,FALSE()),"п. 21 — по пом. "&amp;$E151)</f>
        <v>п. 6</v>
      </c>
      <c r="H151" s="5" t="n">
        <f aca="false">MAX($F151+15,65)</f>
        <v>75</v>
      </c>
      <c r="I151" s="7" t="s">
        <v>20</v>
      </c>
      <c r="J151" s="7" t="s">
        <v>21</v>
      </c>
      <c r="K151" s="11" t="s">
        <v>22</v>
      </c>
      <c r="L151" s="7" t="str">
        <f aca="false">IF($K151="Звуковой","не требуется (звуковой способ)",IF($F151&lt;=65,"упрощённая оценка (п. 6.11.3)","нужен расчёт (прил. В / ПО изготовителя)"))</f>
        <v>упрощённая оценка (п. 6.11.3)</v>
      </c>
      <c r="M151" s="7"/>
      <c r="N151" s="12" t="n">
        <f aca="false">VLOOKUP($D151,Категории!$A$5:$C$17,2,FALSE())</f>
        <v>60</v>
      </c>
    </row>
    <row r="152" customFormat="false" ht="15" hidden="false" customHeight="false" outlineLevel="0" collapsed="false">
      <c r="A152" s="5" t="n">
        <v>3</v>
      </c>
      <c r="B152" s="6" t="s">
        <v>247</v>
      </c>
      <c r="C152" s="7" t="s">
        <v>35</v>
      </c>
      <c r="D152" s="8" t="s">
        <v>36</v>
      </c>
      <c r="E152" s="9"/>
      <c r="F152" s="10" t="n">
        <f aca="false">IF($E152="",$N152,MAX($N152,INDEX($N$6:$N$225,MATCH($E152,$B$6:$B$225,0))))</f>
        <v>60</v>
      </c>
      <c r="G152" s="7" t="str">
        <f aca="false">IF($E152="",VLOOKUP($D152,Категории!$A$5:$C$17,3,FALSE()),"п. 21 — по пом. "&amp;$E152)</f>
        <v>п. 21</v>
      </c>
      <c r="H152" s="5" t="n">
        <f aca="false">MAX($F152+15,65)</f>
        <v>75</v>
      </c>
      <c r="I152" s="7" t="s">
        <v>20</v>
      </c>
      <c r="J152" s="7" t="s">
        <v>21</v>
      </c>
      <c r="K152" s="11" t="s">
        <v>22</v>
      </c>
      <c r="L152" s="7" t="str">
        <f aca="false">IF($K152="Звуковой","не требуется (звуковой способ)",IF($F152&lt;=65,"упрощённая оценка (п. 6.11.3)","нужен расчёт (прил. В / ПО изготовителя)"))</f>
        <v>упрощённая оценка (п. 6.11.3)</v>
      </c>
      <c r="M152" s="7"/>
      <c r="N152" s="12" t="n">
        <f aca="false">VLOOKUP($D152,Категории!$A$5:$C$17,2,FALSE())</f>
        <v>60</v>
      </c>
    </row>
    <row r="153" customFormat="false" ht="15" hidden="false" customHeight="false" outlineLevel="0" collapsed="false">
      <c r="A153" s="5" t="n">
        <v>3</v>
      </c>
      <c r="B153" s="6" t="s">
        <v>248</v>
      </c>
      <c r="C153" s="7" t="s">
        <v>43</v>
      </c>
      <c r="D153" s="8" t="s">
        <v>36</v>
      </c>
      <c r="E153" s="9"/>
      <c r="F153" s="10" t="n">
        <f aca="false">IF($E153="",$N153,MAX($N153,INDEX($N$6:$N$225,MATCH($E153,$B$6:$B$225,0))))</f>
        <v>60</v>
      </c>
      <c r="G153" s="7" t="str">
        <f aca="false">IF($E153="",VLOOKUP($D153,Категории!$A$5:$C$17,3,FALSE()),"п. 21 — по пом. "&amp;$E153)</f>
        <v>п. 21</v>
      </c>
      <c r="H153" s="5" t="n">
        <f aca="false">MAX($F153+15,65)</f>
        <v>75</v>
      </c>
      <c r="I153" s="7" t="s">
        <v>20</v>
      </c>
      <c r="J153" s="7" t="s">
        <v>21</v>
      </c>
      <c r="K153" s="11" t="s">
        <v>22</v>
      </c>
      <c r="L153" s="7" t="str">
        <f aca="false">IF($K153="Звуковой","не требуется (звуковой способ)",IF($F153&lt;=65,"упрощённая оценка (п. 6.11.3)","нужен расчёт (прил. В / ПО изготовителя)"))</f>
        <v>упрощённая оценка (п. 6.11.3)</v>
      </c>
      <c r="M153" s="7"/>
      <c r="N153" s="12" t="n">
        <f aca="false">VLOOKUP($D153,Категории!$A$5:$C$17,2,FALSE())</f>
        <v>60</v>
      </c>
    </row>
    <row r="154" customFormat="false" ht="15" hidden="false" customHeight="false" outlineLevel="0" collapsed="false">
      <c r="A154" s="5" t="n">
        <v>3</v>
      </c>
      <c r="B154" s="6" t="s">
        <v>249</v>
      </c>
      <c r="C154" s="7" t="s">
        <v>61</v>
      </c>
      <c r="D154" s="8" t="s">
        <v>58</v>
      </c>
      <c r="E154" s="9"/>
      <c r="F154" s="10" t="n">
        <f aca="false">IF($E154="",$N154,MAX($N154,INDEX($N$6:$N$225,MATCH($E154,$B$6:$B$225,0))))</f>
        <v>60</v>
      </c>
      <c r="G154" s="7" t="str">
        <f aca="false">IF($E154="",VLOOKUP($D154,Категории!$A$5:$C$17,3,FALSE()),"п. 21 — по пом. "&amp;$E154)</f>
        <v>п. 6</v>
      </c>
      <c r="H154" s="5" t="n">
        <f aca="false">MAX($F154+15,65)</f>
        <v>75</v>
      </c>
      <c r="I154" s="7" t="s">
        <v>20</v>
      </c>
      <c r="J154" s="7" t="s">
        <v>21</v>
      </c>
      <c r="K154" s="11" t="s">
        <v>22</v>
      </c>
      <c r="L154" s="7" t="str">
        <f aca="false">IF($K154="Звуковой","не требуется (звуковой способ)",IF($F154&lt;=65,"упрощённая оценка (п. 6.11.3)","нужен расчёт (прил. В / ПО изготовителя)"))</f>
        <v>упрощённая оценка (п. 6.11.3)</v>
      </c>
      <c r="M154" s="7"/>
      <c r="N154" s="12" t="n">
        <f aca="false">VLOOKUP($D154,Категории!$A$5:$C$17,2,FALSE())</f>
        <v>60</v>
      </c>
    </row>
    <row r="155" customFormat="false" ht="15" hidden="false" customHeight="false" outlineLevel="0" collapsed="false">
      <c r="A155" s="5" t="n">
        <v>3</v>
      </c>
      <c r="B155" s="6" t="s">
        <v>250</v>
      </c>
      <c r="C155" s="7" t="s">
        <v>158</v>
      </c>
      <c r="D155" s="8" t="s">
        <v>58</v>
      </c>
      <c r="E155" s="9"/>
      <c r="F155" s="10" t="n">
        <f aca="false">IF($E155="",$N155,MAX($N155,INDEX($N$6:$N$225,MATCH($E155,$B$6:$B$225,0))))</f>
        <v>60</v>
      </c>
      <c r="G155" s="7" t="str">
        <f aca="false">IF($E155="",VLOOKUP($D155,Категории!$A$5:$C$17,3,FALSE()),"п. 21 — по пом. "&amp;$E155)</f>
        <v>п. 6</v>
      </c>
      <c r="H155" s="5" t="n">
        <f aca="false">MAX($F155+15,65)</f>
        <v>75</v>
      </c>
      <c r="I155" s="7" t="s">
        <v>20</v>
      </c>
      <c r="J155" s="7" t="s">
        <v>21</v>
      </c>
      <c r="K155" s="11" t="s">
        <v>22</v>
      </c>
      <c r="L155" s="7" t="str">
        <f aca="false">IF($K155="Звуковой","не требуется (звуковой способ)",IF($F155&lt;=65,"упрощённая оценка (п. 6.11.3)","нужен расчёт (прил. В / ПО изготовителя)"))</f>
        <v>упрощённая оценка (п. 6.11.3)</v>
      </c>
      <c r="M155" s="7"/>
      <c r="N155" s="12" t="n">
        <f aca="false">VLOOKUP($D155,Категории!$A$5:$C$17,2,FALSE())</f>
        <v>60</v>
      </c>
    </row>
    <row r="156" customFormat="false" ht="15" hidden="false" customHeight="false" outlineLevel="0" collapsed="false">
      <c r="A156" s="5" t="n">
        <v>3</v>
      </c>
      <c r="B156" s="6" t="s">
        <v>251</v>
      </c>
      <c r="C156" s="7" t="s">
        <v>35</v>
      </c>
      <c r="D156" s="8" t="s">
        <v>36</v>
      </c>
      <c r="E156" s="9"/>
      <c r="F156" s="10" t="n">
        <f aca="false">IF($E156="",$N156,MAX($N156,INDEX($N$6:$N$225,MATCH($E156,$B$6:$B$225,0))))</f>
        <v>60</v>
      </c>
      <c r="G156" s="7" t="str">
        <f aca="false">IF($E156="",VLOOKUP($D156,Категории!$A$5:$C$17,3,FALSE()),"п. 21 — по пом. "&amp;$E156)</f>
        <v>п. 21</v>
      </c>
      <c r="H156" s="5" t="n">
        <f aca="false">MAX($F156+15,65)</f>
        <v>75</v>
      </c>
      <c r="I156" s="7" t="s">
        <v>20</v>
      </c>
      <c r="J156" s="7" t="s">
        <v>21</v>
      </c>
      <c r="K156" s="11" t="s">
        <v>22</v>
      </c>
      <c r="L156" s="7" t="str">
        <f aca="false">IF($K156="Звуковой","не требуется (звуковой способ)",IF($F156&lt;=65,"упрощённая оценка (п. 6.11.3)","нужен расчёт (прил. В / ПО изготовителя)"))</f>
        <v>упрощённая оценка (п. 6.11.3)</v>
      </c>
      <c r="M156" s="7"/>
      <c r="N156" s="12" t="n">
        <f aca="false">VLOOKUP($D156,Категории!$A$5:$C$17,2,FALSE())</f>
        <v>60</v>
      </c>
    </row>
    <row r="157" customFormat="false" ht="23.85" hidden="false" customHeight="false" outlineLevel="0" collapsed="false">
      <c r="A157" s="5" t="n">
        <v>3</v>
      </c>
      <c r="B157" s="6" t="s">
        <v>252</v>
      </c>
      <c r="C157" s="7" t="s">
        <v>109</v>
      </c>
      <c r="D157" s="8" t="s">
        <v>110</v>
      </c>
      <c r="E157" s="9"/>
      <c r="F157" s="10" t="n">
        <f aca="false">IF($E157="",$N157,MAX($N157,INDEX($N$6:$N$225,MATCH($E157,$B$6:$B$225,0))))</f>
        <v>55</v>
      </c>
      <c r="G157" s="7" t="str">
        <f aca="false">IF($E157="",VLOOKUP($D157,Категории!$A$5:$C$17,3,FALSE()),"п. 21 — по пом. "&amp;$E157)</f>
        <v>п. 28</v>
      </c>
      <c r="H157" s="5" t="n">
        <f aca="false">MAX($F157+15,65)</f>
        <v>70</v>
      </c>
      <c r="I157" s="7" t="s">
        <v>111</v>
      </c>
      <c r="J157" s="7" t="s">
        <v>21</v>
      </c>
      <c r="K157" s="11" t="s">
        <v>22</v>
      </c>
      <c r="L157" s="7" t="str">
        <f aca="false">IF($K157="Звуковой","не требуется (звуковой способ)",IF($F157&lt;=65,"упрощённая оценка (п. 6.11.3)","нужен расчёт (прил. В / ПО изготовителя)"))</f>
        <v>упрощённая оценка (п. 6.11.3)</v>
      </c>
      <c r="M157" s="7"/>
      <c r="N157" s="12" t="n">
        <f aca="false">VLOOKUP($D157,Категории!$A$5:$C$17,2,FALSE())</f>
        <v>55</v>
      </c>
    </row>
    <row r="158" customFormat="false" ht="23.85" hidden="false" customHeight="false" outlineLevel="0" collapsed="false">
      <c r="A158" s="5" t="n">
        <v>3</v>
      </c>
      <c r="B158" s="6" t="s">
        <v>253</v>
      </c>
      <c r="C158" s="7" t="s">
        <v>109</v>
      </c>
      <c r="D158" s="8" t="s">
        <v>110</v>
      </c>
      <c r="E158" s="9"/>
      <c r="F158" s="10" t="n">
        <f aca="false">IF($E158="",$N158,MAX($N158,INDEX($N$6:$N$225,MATCH($E158,$B$6:$B$225,0))))</f>
        <v>55</v>
      </c>
      <c r="G158" s="7" t="str">
        <f aca="false">IF($E158="",VLOOKUP($D158,Категории!$A$5:$C$17,3,FALSE()),"п. 21 — по пом. "&amp;$E158)</f>
        <v>п. 28</v>
      </c>
      <c r="H158" s="5" t="n">
        <f aca="false">MAX($F158+15,65)</f>
        <v>70</v>
      </c>
      <c r="I158" s="7" t="s">
        <v>111</v>
      </c>
      <c r="J158" s="7" t="s">
        <v>21</v>
      </c>
      <c r="K158" s="11" t="s">
        <v>22</v>
      </c>
      <c r="L158" s="7" t="str">
        <f aca="false">IF($K158="Звуковой","не требуется (звуковой способ)",IF($F158&lt;=65,"упрощённая оценка (п. 6.11.3)","нужен расчёт (прил. В / ПО изготовителя)"))</f>
        <v>упрощённая оценка (п. 6.11.3)</v>
      </c>
      <c r="M158" s="7"/>
      <c r="N158" s="12" t="n">
        <f aca="false">VLOOKUP($D158,Категории!$A$5:$C$17,2,FALSE())</f>
        <v>55</v>
      </c>
    </row>
    <row r="159" customFormat="false" ht="35.05" hidden="false" customHeight="false" outlineLevel="0" collapsed="false">
      <c r="A159" s="5" t="n">
        <v>3</v>
      </c>
      <c r="B159" s="6" t="s">
        <v>254</v>
      </c>
      <c r="C159" s="7" t="s">
        <v>100</v>
      </c>
      <c r="D159" s="8" t="s">
        <v>46</v>
      </c>
      <c r="E159" s="9"/>
      <c r="F159" s="10" t="n">
        <f aca="false">IF($E159="",$N159,MAX($N159,INDEX($N$6:$N$225,MATCH($E159,$B$6:$B$225,0))))</f>
        <v>60</v>
      </c>
      <c r="G159" s="7" t="str">
        <f aca="false">IF($E159="",VLOOKUP($D159,Категории!$A$5:$C$17,3,FALSE()),"п. 21 — по пом. "&amp;$E159)</f>
        <v>по аналогии с п. 6</v>
      </c>
      <c r="H159" s="5" t="n">
        <f aca="false">MAX($F159+15,65)</f>
        <v>75</v>
      </c>
      <c r="I159" s="14" t="s">
        <v>101</v>
      </c>
      <c r="J159" s="7" t="s">
        <v>32</v>
      </c>
      <c r="K159" s="11" t="s">
        <v>22</v>
      </c>
      <c r="L159" s="7" t="str">
        <f aca="false">IF($K159="Звуковой","не требуется (звуковой способ)",IF($F159&lt;=65,"упрощённая оценка (п. 6.11.3)","нужен расчёт (прил. В / ПО изготовителя)"))</f>
        <v>упрощённая оценка (п. 6.11.3)</v>
      </c>
      <c r="M159" s="7"/>
      <c r="N159" s="12" t="n">
        <f aca="false">VLOOKUP($D159,Категории!$A$5:$C$17,2,FALSE())</f>
        <v>60</v>
      </c>
    </row>
    <row r="160" customFormat="false" ht="23.85" hidden="false" customHeight="false" outlineLevel="0" collapsed="false">
      <c r="A160" s="5" t="n">
        <v>3</v>
      </c>
      <c r="B160" s="6" t="s">
        <v>255</v>
      </c>
      <c r="C160" s="7" t="s">
        <v>109</v>
      </c>
      <c r="D160" s="8" t="s">
        <v>110</v>
      </c>
      <c r="E160" s="9"/>
      <c r="F160" s="10" t="n">
        <f aca="false">IF($E160="",$N160,MAX($N160,INDEX($N$6:$N$225,MATCH($E160,$B$6:$B$225,0))))</f>
        <v>55</v>
      </c>
      <c r="G160" s="7" t="str">
        <f aca="false">IF($E160="",VLOOKUP($D160,Категории!$A$5:$C$17,3,FALSE()),"п. 21 — по пом. "&amp;$E160)</f>
        <v>п. 28</v>
      </c>
      <c r="H160" s="5" t="n">
        <f aca="false">MAX($F160+15,65)</f>
        <v>70</v>
      </c>
      <c r="I160" s="7" t="s">
        <v>111</v>
      </c>
      <c r="J160" s="7" t="s">
        <v>21</v>
      </c>
      <c r="K160" s="11" t="s">
        <v>22</v>
      </c>
      <c r="L160" s="7" t="str">
        <f aca="false">IF($K160="Звуковой","не требуется (звуковой способ)",IF($F160&lt;=65,"упрощённая оценка (п. 6.11.3)","нужен расчёт (прил. В / ПО изготовителя)"))</f>
        <v>упрощённая оценка (п. 6.11.3)</v>
      </c>
      <c r="M160" s="7"/>
      <c r="N160" s="12" t="n">
        <f aca="false">VLOOKUP($D160,Категории!$A$5:$C$17,2,FALSE())</f>
        <v>55</v>
      </c>
    </row>
    <row r="161" customFormat="false" ht="15" hidden="false" customHeight="false" outlineLevel="0" collapsed="false">
      <c r="A161" s="5" t="n">
        <v>3</v>
      </c>
      <c r="B161" s="6" t="s">
        <v>256</v>
      </c>
      <c r="C161" s="7" t="s">
        <v>35</v>
      </c>
      <c r="D161" s="8" t="s">
        <v>36</v>
      </c>
      <c r="E161" s="9"/>
      <c r="F161" s="10" t="n">
        <f aca="false">IF($E161="",$N161,MAX($N161,INDEX($N$6:$N$225,MATCH($E161,$B$6:$B$225,0))))</f>
        <v>60</v>
      </c>
      <c r="G161" s="7" t="str">
        <f aca="false">IF($E161="",VLOOKUP($D161,Категории!$A$5:$C$17,3,FALSE()),"п. 21 — по пом. "&amp;$E161)</f>
        <v>п. 21</v>
      </c>
      <c r="H161" s="5" t="n">
        <f aca="false">MAX($F161+15,65)</f>
        <v>75</v>
      </c>
      <c r="I161" s="7" t="s">
        <v>20</v>
      </c>
      <c r="J161" s="7" t="s">
        <v>21</v>
      </c>
      <c r="K161" s="11" t="s">
        <v>22</v>
      </c>
      <c r="L161" s="7" t="str">
        <f aca="false">IF($K161="Звуковой","не требуется (звуковой способ)",IF($F161&lt;=65,"упрощённая оценка (п. 6.11.3)","нужен расчёт (прил. В / ПО изготовителя)"))</f>
        <v>упрощённая оценка (п. 6.11.3)</v>
      </c>
      <c r="M161" s="7"/>
      <c r="N161" s="12" t="n">
        <f aca="false">VLOOKUP($D161,Категории!$A$5:$C$17,2,FALSE())</f>
        <v>60</v>
      </c>
    </row>
    <row r="162" customFormat="false" ht="15" hidden="false" customHeight="false" outlineLevel="0" collapsed="false">
      <c r="A162" s="5" t="n">
        <v>3</v>
      </c>
      <c r="B162" s="6" t="s">
        <v>257</v>
      </c>
      <c r="C162" s="7" t="s">
        <v>61</v>
      </c>
      <c r="D162" s="8" t="s">
        <v>58</v>
      </c>
      <c r="E162" s="9"/>
      <c r="F162" s="10" t="n">
        <f aca="false">IF($E162="",$N162,MAX($N162,INDEX($N$6:$N$225,MATCH($E162,$B$6:$B$225,0))))</f>
        <v>60</v>
      </c>
      <c r="G162" s="7" t="str">
        <f aca="false">IF($E162="",VLOOKUP($D162,Категории!$A$5:$C$17,3,FALSE()),"п. 21 — по пом. "&amp;$E162)</f>
        <v>п. 6</v>
      </c>
      <c r="H162" s="5" t="n">
        <f aca="false">MAX($F162+15,65)</f>
        <v>75</v>
      </c>
      <c r="I162" s="7" t="s">
        <v>20</v>
      </c>
      <c r="J162" s="7" t="s">
        <v>21</v>
      </c>
      <c r="K162" s="11" t="s">
        <v>22</v>
      </c>
      <c r="L162" s="7" t="str">
        <f aca="false">IF($K162="Звуковой","не требуется (звуковой способ)",IF($F162&lt;=65,"упрощённая оценка (п. 6.11.3)","нужен расчёт (прил. В / ПО изготовителя)"))</f>
        <v>упрощённая оценка (п. 6.11.3)</v>
      </c>
      <c r="M162" s="7"/>
      <c r="N162" s="12" t="n">
        <f aca="false">VLOOKUP($D162,Категории!$A$5:$C$17,2,FALSE())</f>
        <v>60</v>
      </c>
    </row>
    <row r="163" customFormat="false" ht="15" hidden="false" customHeight="false" outlineLevel="0" collapsed="false">
      <c r="A163" s="5" t="n">
        <v>3</v>
      </c>
      <c r="B163" s="6" t="s">
        <v>258</v>
      </c>
      <c r="C163" s="7" t="s">
        <v>173</v>
      </c>
      <c r="D163" s="8" t="s">
        <v>58</v>
      </c>
      <c r="E163" s="9"/>
      <c r="F163" s="10" t="n">
        <f aca="false">IF($E163="",$N163,MAX($N163,INDEX($N$6:$N$225,MATCH($E163,$B$6:$B$225,0))))</f>
        <v>60</v>
      </c>
      <c r="G163" s="7" t="str">
        <f aca="false">IF($E163="",VLOOKUP($D163,Категории!$A$5:$C$17,3,FALSE()),"п. 21 — по пом. "&amp;$E163)</f>
        <v>п. 6</v>
      </c>
      <c r="H163" s="5" t="n">
        <f aca="false">MAX($F163+15,65)</f>
        <v>75</v>
      </c>
      <c r="I163" s="7" t="s">
        <v>20</v>
      </c>
      <c r="J163" s="7" t="s">
        <v>21</v>
      </c>
      <c r="K163" s="11" t="s">
        <v>22</v>
      </c>
      <c r="L163" s="7" t="str">
        <f aca="false">IF($K163="Звуковой","не требуется (звуковой способ)",IF($F163&lt;=65,"упрощённая оценка (п. 6.11.3)","нужен расчёт (прил. В / ПО изготовителя)"))</f>
        <v>упрощённая оценка (п. 6.11.3)</v>
      </c>
      <c r="M163" s="7" t="s">
        <v>174</v>
      </c>
      <c r="N163" s="12" t="n">
        <f aca="false">VLOOKUP($D163,Категории!$A$5:$C$17,2,FALSE())</f>
        <v>60</v>
      </c>
    </row>
    <row r="164" customFormat="false" ht="15" hidden="false" customHeight="false" outlineLevel="0" collapsed="false">
      <c r="A164" s="5" t="n">
        <v>3</v>
      </c>
      <c r="B164" s="6" t="s">
        <v>259</v>
      </c>
      <c r="C164" s="7" t="s">
        <v>61</v>
      </c>
      <c r="D164" s="8" t="s">
        <v>58</v>
      </c>
      <c r="E164" s="9"/>
      <c r="F164" s="10" t="n">
        <f aca="false">IF($E164="",$N164,MAX($N164,INDEX($N$6:$N$225,MATCH($E164,$B$6:$B$225,0))))</f>
        <v>60</v>
      </c>
      <c r="G164" s="7" t="str">
        <f aca="false">IF($E164="",VLOOKUP($D164,Категории!$A$5:$C$17,3,FALSE()),"п. 21 — по пом. "&amp;$E164)</f>
        <v>п. 6</v>
      </c>
      <c r="H164" s="5" t="n">
        <f aca="false">MAX($F164+15,65)</f>
        <v>75</v>
      </c>
      <c r="I164" s="7" t="s">
        <v>20</v>
      </c>
      <c r="J164" s="7" t="s">
        <v>21</v>
      </c>
      <c r="K164" s="11" t="s">
        <v>22</v>
      </c>
      <c r="L164" s="7" t="str">
        <f aca="false">IF($K164="Звуковой","не требуется (звуковой способ)",IF($F164&lt;=65,"упрощённая оценка (п. 6.11.3)","нужен расчёт (прил. В / ПО изготовителя)"))</f>
        <v>упрощённая оценка (п. 6.11.3)</v>
      </c>
      <c r="M164" s="7"/>
      <c r="N164" s="12" t="n">
        <f aca="false">VLOOKUP($D164,Категории!$A$5:$C$17,2,FALSE())</f>
        <v>60</v>
      </c>
    </row>
    <row r="165" customFormat="false" ht="15" hidden="false" customHeight="false" outlineLevel="0" collapsed="false">
      <c r="A165" s="5" t="n">
        <v>3</v>
      </c>
      <c r="B165" s="6" t="s">
        <v>260</v>
      </c>
      <c r="C165" s="7" t="s">
        <v>61</v>
      </c>
      <c r="D165" s="8" t="s">
        <v>58</v>
      </c>
      <c r="E165" s="9"/>
      <c r="F165" s="10" t="n">
        <f aca="false">IF($E165="",$N165,MAX($N165,INDEX($N$6:$N$225,MATCH($E165,$B$6:$B$225,0))))</f>
        <v>60</v>
      </c>
      <c r="G165" s="7" t="str">
        <f aca="false">IF($E165="",VLOOKUP($D165,Категории!$A$5:$C$17,3,FALSE()),"п. 21 — по пом. "&amp;$E165)</f>
        <v>п. 6</v>
      </c>
      <c r="H165" s="5" t="n">
        <f aca="false">MAX($F165+15,65)</f>
        <v>75</v>
      </c>
      <c r="I165" s="7" t="s">
        <v>20</v>
      </c>
      <c r="J165" s="7" t="s">
        <v>21</v>
      </c>
      <c r="K165" s="11" t="s">
        <v>22</v>
      </c>
      <c r="L165" s="7" t="str">
        <f aca="false">IF($K165="Звуковой","не требуется (звуковой способ)",IF($F165&lt;=65,"упрощённая оценка (п. 6.11.3)","нужен расчёт (прил. В / ПО изготовителя)"))</f>
        <v>упрощённая оценка (п. 6.11.3)</v>
      </c>
      <c r="M165" s="7"/>
      <c r="N165" s="12" t="n">
        <f aca="false">VLOOKUP($D165,Категории!$A$5:$C$17,2,FALSE())</f>
        <v>60</v>
      </c>
    </row>
    <row r="166" customFormat="false" ht="15" hidden="false" customHeight="false" outlineLevel="0" collapsed="false">
      <c r="A166" s="5" t="n">
        <v>3</v>
      </c>
      <c r="B166" s="6" t="s">
        <v>261</v>
      </c>
      <c r="C166" s="7" t="s">
        <v>61</v>
      </c>
      <c r="D166" s="8" t="s">
        <v>58</v>
      </c>
      <c r="E166" s="9"/>
      <c r="F166" s="10" t="n">
        <f aca="false">IF($E166="",$N166,MAX($N166,INDEX($N$6:$N$225,MATCH($E166,$B$6:$B$225,0))))</f>
        <v>60</v>
      </c>
      <c r="G166" s="7" t="str">
        <f aca="false">IF($E166="",VLOOKUP($D166,Категории!$A$5:$C$17,3,FALSE()),"п. 21 — по пом. "&amp;$E166)</f>
        <v>п. 6</v>
      </c>
      <c r="H166" s="5" t="n">
        <f aca="false">MAX($F166+15,65)</f>
        <v>75</v>
      </c>
      <c r="I166" s="7" t="s">
        <v>20</v>
      </c>
      <c r="J166" s="7" t="s">
        <v>21</v>
      </c>
      <c r="K166" s="11" t="s">
        <v>22</v>
      </c>
      <c r="L166" s="7" t="str">
        <f aca="false">IF($K166="Звуковой","не требуется (звуковой способ)",IF($F166&lt;=65,"упрощённая оценка (п. 6.11.3)","нужен расчёт (прил. В / ПО изготовителя)"))</f>
        <v>упрощённая оценка (п. 6.11.3)</v>
      </c>
      <c r="M166" s="7"/>
      <c r="N166" s="12" t="n">
        <f aca="false">VLOOKUP($D166,Категории!$A$5:$C$17,2,FALSE())</f>
        <v>60</v>
      </c>
    </row>
    <row r="167" customFormat="false" ht="15" hidden="false" customHeight="false" outlineLevel="0" collapsed="false">
      <c r="A167" s="5" t="n">
        <v>3</v>
      </c>
      <c r="B167" s="6" t="s">
        <v>262</v>
      </c>
      <c r="C167" s="7" t="s">
        <v>158</v>
      </c>
      <c r="D167" s="8" t="s">
        <v>58</v>
      </c>
      <c r="E167" s="9"/>
      <c r="F167" s="10" t="n">
        <f aca="false">IF($E167="",$N167,MAX($N167,INDEX($N$6:$N$225,MATCH($E167,$B$6:$B$225,0))))</f>
        <v>60</v>
      </c>
      <c r="G167" s="7" t="str">
        <f aca="false">IF($E167="",VLOOKUP($D167,Категории!$A$5:$C$17,3,FALSE()),"п. 21 — по пом. "&amp;$E167)</f>
        <v>п. 6</v>
      </c>
      <c r="H167" s="5" t="n">
        <f aca="false">MAX($F167+15,65)</f>
        <v>75</v>
      </c>
      <c r="I167" s="7" t="s">
        <v>20</v>
      </c>
      <c r="J167" s="7" t="s">
        <v>21</v>
      </c>
      <c r="K167" s="11" t="s">
        <v>22</v>
      </c>
      <c r="L167" s="7" t="str">
        <f aca="false">IF($K167="Звуковой","не требуется (звуковой способ)",IF($F167&lt;=65,"упрощённая оценка (п. 6.11.3)","нужен расчёт (прил. В / ПО изготовителя)"))</f>
        <v>упрощённая оценка (п. 6.11.3)</v>
      </c>
      <c r="M167" s="7"/>
      <c r="N167" s="12" t="n">
        <f aca="false">VLOOKUP($D167,Категории!$A$5:$C$17,2,FALSE())</f>
        <v>60</v>
      </c>
    </row>
    <row r="168" customFormat="false" ht="15" hidden="false" customHeight="false" outlineLevel="0" collapsed="false">
      <c r="A168" s="5" t="n">
        <v>3</v>
      </c>
      <c r="B168" s="6" t="s">
        <v>263</v>
      </c>
      <c r="C168" s="7" t="s">
        <v>61</v>
      </c>
      <c r="D168" s="8" t="s">
        <v>58</v>
      </c>
      <c r="E168" s="9"/>
      <c r="F168" s="10" t="n">
        <f aca="false">IF($E168="",$N168,MAX($N168,INDEX($N$6:$N$225,MATCH($E168,$B$6:$B$225,0))))</f>
        <v>60</v>
      </c>
      <c r="G168" s="7" t="str">
        <f aca="false">IF($E168="",VLOOKUP($D168,Категории!$A$5:$C$17,3,FALSE()),"п. 21 — по пом. "&amp;$E168)</f>
        <v>п. 6</v>
      </c>
      <c r="H168" s="5" t="n">
        <f aca="false">MAX($F168+15,65)</f>
        <v>75</v>
      </c>
      <c r="I168" s="7" t="s">
        <v>20</v>
      </c>
      <c r="J168" s="7" t="s">
        <v>21</v>
      </c>
      <c r="K168" s="11" t="s">
        <v>22</v>
      </c>
      <c r="L168" s="7" t="str">
        <f aca="false">IF($K168="Звуковой","не требуется (звуковой способ)",IF($F168&lt;=65,"упрощённая оценка (п. 6.11.3)","нужен расчёт (прил. В / ПО изготовителя)"))</f>
        <v>упрощённая оценка (п. 6.11.3)</v>
      </c>
      <c r="M168" s="7"/>
      <c r="N168" s="12" t="n">
        <f aca="false">VLOOKUP($D168,Категории!$A$5:$C$17,2,FALSE())</f>
        <v>60</v>
      </c>
    </row>
    <row r="169" customFormat="false" ht="15" hidden="false" customHeight="false" outlineLevel="0" collapsed="false">
      <c r="A169" s="5" t="n">
        <v>3</v>
      </c>
      <c r="B169" s="6" t="s">
        <v>264</v>
      </c>
      <c r="C169" s="7" t="s">
        <v>57</v>
      </c>
      <c r="D169" s="8" t="s">
        <v>58</v>
      </c>
      <c r="E169" s="9"/>
      <c r="F169" s="10" t="n">
        <f aca="false">IF($E169="",$N169,MAX($N169,INDEX($N$6:$N$225,MATCH($E169,$B$6:$B$225,0))))</f>
        <v>60</v>
      </c>
      <c r="G169" s="7" t="str">
        <f aca="false">IF($E169="",VLOOKUP($D169,Категории!$A$5:$C$17,3,FALSE()),"п. 21 — по пом. "&amp;$E169)</f>
        <v>п. 6</v>
      </c>
      <c r="H169" s="5" t="n">
        <f aca="false">MAX($F169+15,65)</f>
        <v>75</v>
      </c>
      <c r="I169" s="7" t="s">
        <v>20</v>
      </c>
      <c r="J169" s="7" t="s">
        <v>21</v>
      </c>
      <c r="K169" s="11" t="s">
        <v>22</v>
      </c>
      <c r="L169" s="7" t="str">
        <f aca="false">IF($K169="Звуковой","не требуется (звуковой способ)",IF($F169&lt;=65,"упрощённая оценка (п. 6.11.3)","нужен расчёт (прил. В / ПО изготовителя)"))</f>
        <v>упрощённая оценка (п. 6.11.3)</v>
      </c>
      <c r="M169" s="7"/>
      <c r="N169" s="12" t="n">
        <f aca="false">VLOOKUP($D169,Категории!$A$5:$C$17,2,FALSE())</f>
        <v>60</v>
      </c>
    </row>
    <row r="170" customFormat="false" ht="15" hidden="false" customHeight="false" outlineLevel="0" collapsed="false">
      <c r="A170" s="5" t="n">
        <v>3</v>
      </c>
      <c r="B170" s="6" t="s">
        <v>265</v>
      </c>
      <c r="C170" s="7" t="s">
        <v>61</v>
      </c>
      <c r="D170" s="8" t="s">
        <v>58</v>
      </c>
      <c r="E170" s="9"/>
      <c r="F170" s="10" t="n">
        <f aca="false">IF($E170="",$N170,MAX($N170,INDEX($N$6:$N$225,MATCH($E170,$B$6:$B$225,0))))</f>
        <v>60</v>
      </c>
      <c r="G170" s="7" t="str">
        <f aca="false">IF($E170="",VLOOKUP($D170,Категории!$A$5:$C$17,3,FALSE()),"п. 21 — по пом. "&amp;$E170)</f>
        <v>п. 6</v>
      </c>
      <c r="H170" s="5" t="n">
        <f aca="false">MAX($F170+15,65)</f>
        <v>75</v>
      </c>
      <c r="I170" s="7" t="s">
        <v>20</v>
      </c>
      <c r="J170" s="7" t="s">
        <v>21</v>
      </c>
      <c r="K170" s="11" t="s">
        <v>22</v>
      </c>
      <c r="L170" s="7" t="str">
        <f aca="false">IF($K170="Звуковой","не требуется (звуковой способ)",IF($F170&lt;=65,"упрощённая оценка (п. 6.11.3)","нужен расчёт (прил. В / ПО изготовителя)"))</f>
        <v>упрощённая оценка (п. 6.11.3)</v>
      </c>
      <c r="M170" s="7"/>
      <c r="N170" s="12" t="n">
        <f aca="false">VLOOKUP($D170,Категории!$A$5:$C$17,2,FALSE())</f>
        <v>60</v>
      </c>
    </row>
    <row r="171" customFormat="false" ht="15" hidden="false" customHeight="false" outlineLevel="0" collapsed="false">
      <c r="A171" s="5" t="n">
        <v>3</v>
      </c>
      <c r="B171" s="6" t="s">
        <v>266</v>
      </c>
      <c r="C171" s="7" t="s">
        <v>61</v>
      </c>
      <c r="D171" s="8" t="s">
        <v>58</v>
      </c>
      <c r="E171" s="9"/>
      <c r="F171" s="10" t="n">
        <f aca="false">IF($E171="",$N171,MAX($N171,INDEX($N$6:$N$225,MATCH($E171,$B$6:$B$225,0))))</f>
        <v>60</v>
      </c>
      <c r="G171" s="7" t="str">
        <f aca="false">IF($E171="",VLOOKUP($D171,Категории!$A$5:$C$17,3,FALSE()),"п. 21 — по пом. "&amp;$E171)</f>
        <v>п. 6</v>
      </c>
      <c r="H171" s="5" t="n">
        <f aca="false">MAX($F171+15,65)</f>
        <v>75</v>
      </c>
      <c r="I171" s="7" t="s">
        <v>20</v>
      </c>
      <c r="J171" s="7" t="s">
        <v>21</v>
      </c>
      <c r="K171" s="11" t="s">
        <v>22</v>
      </c>
      <c r="L171" s="7" t="str">
        <f aca="false">IF($K171="Звуковой","не требуется (звуковой способ)",IF($F171&lt;=65,"упрощённая оценка (п. 6.11.3)","нужен расчёт (прил. В / ПО изготовителя)"))</f>
        <v>упрощённая оценка (п. 6.11.3)</v>
      </c>
      <c r="M171" s="7"/>
      <c r="N171" s="12" t="n">
        <f aca="false">VLOOKUP($D171,Категории!$A$5:$C$17,2,FALSE())</f>
        <v>60</v>
      </c>
    </row>
    <row r="172" customFormat="false" ht="15" hidden="false" customHeight="false" outlineLevel="0" collapsed="false">
      <c r="A172" s="5" t="n">
        <v>3</v>
      </c>
      <c r="B172" s="6" t="s">
        <v>267</v>
      </c>
      <c r="C172" s="7" t="s">
        <v>61</v>
      </c>
      <c r="D172" s="8" t="s">
        <v>58</v>
      </c>
      <c r="E172" s="9"/>
      <c r="F172" s="10" t="n">
        <f aca="false">IF($E172="",$N172,MAX($N172,INDEX($N$6:$N$225,MATCH($E172,$B$6:$B$225,0))))</f>
        <v>60</v>
      </c>
      <c r="G172" s="7" t="str">
        <f aca="false">IF($E172="",VLOOKUP($D172,Категории!$A$5:$C$17,3,FALSE()),"п. 21 — по пом. "&amp;$E172)</f>
        <v>п. 6</v>
      </c>
      <c r="H172" s="5" t="n">
        <f aca="false">MAX($F172+15,65)</f>
        <v>75</v>
      </c>
      <c r="I172" s="7" t="s">
        <v>20</v>
      </c>
      <c r="J172" s="7" t="s">
        <v>21</v>
      </c>
      <c r="K172" s="11" t="s">
        <v>22</v>
      </c>
      <c r="L172" s="7" t="str">
        <f aca="false">IF($K172="Звуковой","не требуется (звуковой способ)",IF($F172&lt;=65,"упрощённая оценка (п. 6.11.3)","нужен расчёт (прил. В / ПО изготовителя)"))</f>
        <v>упрощённая оценка (п. 6.11.3)</v>
      </c>
      <c r="M172" s="7"/>
      <c r="N172" s="12" t="n">
        <f aca="false">VLOOKUP($D172,Категории!$A$5:$C$17,2,FALSE())</f>
        <v>60</v>
      </c>
    </row>
    <row r="173" customFormat="false" ht="15" hidden="false" customHeight="false" outlineLevel="0" collapsed="false">
      <c r="A173" s="5" t="n">
        <v>3</v>
      </c>
      <c r="B173" s="6" t="s">
        <v>268</v>
      </c>
      <c r="C173" s="7" t="s">
        <v>61</v>
      </c>
      <c r="D173" s="8" t="s">
        <v>58</v>
      </c>
      <c r="E173" s="9"/>
      <c r="F173" s="10" t="n">
        <f aca="false">IF($E173="",$N173,MAX($N173,INDEX($N$6:$N$225,MATCH($E173,$B$6:$B$225,0))))</f>
        <v>60</v>
      </c>
      <c r="G173" s="7" t="str">
        <f aca="false">IF($E173="",VLOOKUP($D173,Категории!$A$5:$C$17,3,FALSE()),"п. 21 — по пом. "&amp;$E173)</f>
        <v>п. 6</v>
      </c>
      <c r="H173" s="5" t="n">
        <f aca="false">MAX($F173+15,65)</f>
        <v>75</v>
      </c>
      <c r="I173" s="7" t="s">
        <v>20</v>
      </c>
      <c r="J173" s="7" t="s">
        <v>21</v>
      </c>
      <c r="K173" s="11" t="s">
        <v>22</v>
      </c>
      <c r="L173" s="7" t="str">
        <f aca="false">IF($K173="Звуковой","не требуется (звуковой способ)",IF($F173&lt;=65,"упрощённая оценка (п. 6.11.3)","нужен расчёт (прил. В / ПО изготовителя)"))</f>
        <v>упрощённая оценка (п. 6.11.3)</v>
      </c>
      <c r="M173" s="7"/>
      <c r="N173" s="12" t="n">
        <f aca="false">VLOOKUP($D173,Категории!$A$5:$C$17,2,FALSE())</f>
        <v>60</v>
      </c>
    </row>
    <row r="174" customFormat="false" ht="15" hidden="false" customHeight="false" outlineLevel="0" collapsed="false">
      <c r="A174" s="5" t="n">
        <v>3</v>
      </c>
      <c r="B174" s="6" t="s">
        <v>269</v>
      </c>
      <c r="C174" s="7" t="s">
        <v>35</v>
      </c>
      <c r="D174" s="8" t="s">
        <v>36</v>
      </c>
      <c r="E174" s="9"/>
      <c r="F174" s="10" t="n">
        <f aca="false">IF($E174="",$N174,MAX($N174,INDEX($N$6:$N$225,MATCH($E174,$B$6:$B$225,0))))</f>
        <v>60</v>
      </c>
      <c r="G174" s="7" t="str">
        <f aca="false">IF($E174="",VLOOKUP($D174,Категории!$A$5:$C$17,3,FALSE()),"п. 21 — по пом. "&amp;$E174)</f>
        <v>п. 21</v>
      </c>
      <c r="H174" s="5" t="n">
        <f aca="false">MAX($F174+15,65)</f>
        <v>75</v>
      </c>
      <c r="I174" s="7" t="s">
        <v>20</v>
      </c>
      <c r="J174" s="7" t="s">
        <v>21</v>
      </c>
      <c r="K174" s="11" t="s">
        <v>22</v>
      </c>
      <c r="L174" s="7" t="str">
        <f aca="false">IF($K174="Звуковой","не требуется (звуковой способ)",IF($F174&lt;=65,"упрощённая оценка (п. 6.11.3)","нужен расчёт (прил. В / ПО изготовителя)"))</f>
        <v>упрощённая оценка (п. 6.11.3)</v>
      </c>
      <c r="M174" s="7"/>
      <c r="N174" s="12" t="n">
        <f aca="false">VLOOKUP($D174,Категории!$A$5:$C$17,2,FALSE())</f>
        <v>60</v>
      </c>
    </row>
    <row r="175" customFormat="false" ht="15" hidden="false" customHeight="false" outlineLevel="0" collapsed="false">
      <c r="A175" s="5" t="n">
        <v>3</v>
      </c>
      <c r="B175" s="6" t="s">
        <v>270</v>
      </c>
      <c r="C175" s="7" t="s">
        <v>61</v>
      </c>
      <c r="D175" s="8" t="s">
        <v>58</v>
      </c>
      <c r="E175" s="9"/>
      <c r="F175" s="10" t="n">
        <f aca="false">IF($E175="",$N175,MAX($N175,INDEX($N$6:$N$225,MATCH($E175,$B$6:$B$225,0))))</f>
        <v>60</v>
      </c>
      <c r="G175" s="7" t="str">
        <f aca="false">IF($E175="",VLOOKUP($D175,Категории!$A$5:$C$17,3,FALSE()),"п. 21 — по пом. "&amp;$E175)</f>
        <v>п. 6</v>
      </c>
      <c r="H175" s="5" t="n">
        <f aca="false">MAX($F175+15,65)</f>
        <v>75</v>
      </c>
      <c r="I175" s="7" t="s">
        <v>20</v>
      </c>
      <c r="J175" s="7" t="s">
        <v>21</v>
      </c>
      <c r="K175" s="11" t="s">
        <v>22</v>
      </c>
      <c r="L175" s="7" t="str">
        <f aca="false">IF($K175="Звуковой","не требуется (звуковой способ)",IF($F175&lt;=65,"упрощённая оценка (п. 6.11.3)","нужен расчёт (прил. В / ПО изготовителя)"))</f>
        <v>упрощённая оценка (п. 6.11.3)</v>
      </c>
      <c r="M175" s="7"/>
      <c r="N175" s="12" t="n">
        <f aca="false">VLOOKUP($D175,Категории!$A$5:$C$17,2,FALSE())</f>
        <v>60</v>
      </c>
    </row>
    <row r="176" customFormat="false" ht="15" hidden="false" customHeight="false" outlineLevel="0" collapsed="false">
      <c r="A176" s="5" t="n">
        <v>3</v>
      </c>
      <c r="B176" s="6" t="s">
        <v>271</v>
      </c>
      <c r="C176" s="7" t="s">
        <v>61</v>
      </c>
      <c r="D176" s="8" t="s">
        <v>58</v>
      </c>
      <c r="E176" s="9"/>
      <c r="F176" s="10" t="n">
        <f aca="false">IF($E176="",$N176,MAX($N176,INDEX($N$6:$N$225,MATCH($E176,$B$6:$B$225,0))))</f>
        <v>60</v>
      </c>
      <c r="G176" s="7" t="str">
        <f aca="false">IF($E176="",VLOOKUP($D176,Категории!$A$5:$C$17,3,FALSE()),"п. 21 — по пом. "&amp;$E176)</f>
        <v>п. 6</v>
      </c>
      <c r="H176" s="5" t="n">
        <f aca="false">MAX($F176+15,65)</f>
        <v>75</v>
      </c>
      <c r="I176" s="7" t="s">
        <v>20</v>
      </c>
      <c r="J176" s="7" t="s">
        <v>21</v>
      </c>
      <c r="K176" s="11" t="s">
        <v>22</v>
      </c>
      <c r="L176" s="7" t="str">
        <f aca="false">IF($K176="Звуковой","не требуется (звуковой способ)",IF($F176&lt;=65,"упрощённая оценка (п. 6.11.3)","нужен расчёт (прил. В / ПО изготовителя)"))</f>
        <v>упрощённая оценка (п. 6.11.3)</v>
      </c>
      <c r="M176" s="7"/>
      <c r="N176" s="12" t="n">
        <f aca="false">VLOOKUP($D176,Категории!$A$5:$C$17,2,FALSE())</f>
        <v>60</v>
      </c>
    </row>
    <row r="177" customFormat="false" ht="15" hidden="false" customHeight="false" outlineLevel="0" collapsed="false">
      <c r="A177" s="5" t="n">
        <v>3</v>
      </c>
      <c r="B177" s="6" t="s">
        <v>272</v>
      </c>
      <c r="C177" s="7" t="s">
        <v>61</v>
      </c>
      <c r="D177" s="8" t="s">
        <v>58</v>
      </c>
      <c r="E177" s="9"/>
      <c r="F177" s="10" t="n">
        <f aca="false">IF($E177="",$N177,MAX($N177,INDEX($N$6:$N$225,MATCH($E177,$B$6:$B$225,0))))</f>
        <v>60</v>
      </c>
      <c r="G177" s="7" t="str">
        <f aca="false">IF($E177="",VLOOKUP($D177,Категории!$A$5:$C$17,3,FALSE()),"п. 21 — по пом. "&amp;$E177)</f>
        <v>п. 6</v>
      </c>
      <c r="H177" s="5" t="n">
        <f aca="false">MAX($F177+15,65)</f>
        <v>75</v>
      </c>
      <c r="I177" s="7" t="s">
        <v>20</v>
      </c>
      <c r="J177" s="7" t="s">
        <v>21</v>
      </c>
      <c r="K177" s="11" t="s">
        <v>22</v>
      </c>
      <c r="L177" s="7" t="str">
        <f aca="false">IF($K177="Звуковой","не требуется (звуковой способ)",IF($F177&lt;=65,"упрощённая оценка (п. 6.11.3)","нужен расчёт (прил. В / ПО изготовителя)"))</f>
        <v>упрощённая оценка (п. 6.11.3)</v>
      </c>
      <c r="M177" s="7"/>
      <c r="N177" s="12" t="n">
        <f aca="false">VLOOKUP($D177,Категории!$A$5:$C$17,2,FALSE())</f>
        <v>60</v>
      </c>
    </row>
    <row r="178" customFormat="false" ht="15" hidden="false" customHeight="false" outlineLevel="0" collapsed="false">
      <c r="A178" s="5" t="n">
        <v>3</v>
      </c>
      <c r="B178" s="6" t="s">
        <v>273</v>
      </c>
      <c r="C178" s="7" t="s">
        <v>35</v>
      </c>
      <c r="D178" s="8" t="s">
        <v>36</v>
      </c>
      <c r="E178" s="9"/>
      <c r="F178" s="10" t="n">
        <f aca="false">IF($E178="",$N178,MAX($N178,INDEX($N$6:$N$225,MATCH($E178,$B$6:$B$225,0))))</f>
        <v>60</v>
      </c>
      <c r="G178" s="7" t="str">
        <f aca="false">IF($E178="",VLOOKUP($D178,Категории!$A$5:$C$17,3,FALSE()),"п. 21 — по пом. "&amp;$E178)</f>
        <v>п. 21</v>
      </c>
      <c r="H178" s="5" t="n">
        <f aca="false">MAX($F178+15,65)</f>
        <v>75</v>
      </c>
      <c r="I178" s="7" t="s">
        <v>20</v>
      </c>
      <c r="J178" s="7" t="s">
        <v>21</v>
      </c>
      <c r="K178" s="11" t="s">
        <v>22</v>
      </c>
      <c r="L178" s="7" t="str">
        <f aca="false">IF($K178="Звуковой","не требуется (звуковой способ)",IF($F178&lt;=65,"упрощённая оценка (п. 6.11.3)","нужен расчёт (прил. В / ПО изготовителя)"))</f>
        <v>упрощённая оценка (п. 6.11.3)</v>
      </c>
      <c r="M178" s="7"/>
      <c r="N178" s="12" t="n">
        <f aca="false">VLOOKUP($D178,Категории!$A$5:$C$17,2,FALSE())</f>
        <v>60</v>
      </c>
    </row>
    <row r="179" customFormat="false" ht="23.85" hidden="false" customHeight="false" outlineLevel="0" collapsed="false">
      <c r="A179" s="5" t="n">
        <v>3</v>
      </c>
      <c r="B179" s="6" t="s">
        <v>274</v>
      </c>
      <c r="C179" s="7" t="s">
        <v>109</v>
      </c>
      <c r="D179" s="8" t="s">
        <v>110</v>
      </c>
      <c r="E179" s="9"/>
      <c r="F179" s="10" t="n">
        <f aca="false">IF($E179="",$N179,MAX($N179,INDEX($N$6:$N$225,MATCH($E179,$B$6:$B$225,0))))</f>
        <v>55</v>
      </c>
      <c r="G179" s="7" t="str">
        <f aca="false">IF($E179="",VLOOKUP($D179,Категории!$A$5:$C$17,3,FALSE()),"п. 21 — по пом. "&amp;$E179)</f>
        <v>п. 28</v>
      </c>
      <c r="H179" s="5" t="n">
        <f aca="false">MAX($F179+15,65)</f>
        <v>70</v>
      </c>
      <c r="I179" s="7" t="s">
        <v>111</v>
      </c>
      <c r="J179" s="7" t="s">
        <v>21</v>
      </c>
      <c r="K179" s="11" t="s">
        <v>22</v>
      </c>
      <c r="L179" s="7" t="str">
        <f aca="false">IF($K179="Звуковой","не требуется (звуковой способ)",IF($F179&lt;=65,"упрощённая оценка (п. 6.11.3)","нужен расчёт (прил. В / ПО изготовителя)"))</f>
        <v>упрощённая оценка (п. 6.11.3)</v>
      </c>
      <c r="M179" s="7"/>
      <c r="N179" s="12" t="n">
        <f aca="false">VLOOKUP($D179,Категории!$A$5:$C$17,2,FALSE())</f>
        <v>55</v>
      </c>
    </row>
    <row r="180" customFormat="false" ht="23.85" hidden="false" customHeight="false" outlineLevel="0" collapsed="false">
      <c r="A180" s="5" t="n">
        <v>3</v>
      </c>
      <c r="B180" s="6" t="s">
        <v>275</v>
      </c>
      <c r="C180" s="7" t="s">
        <v>109</v>
      </c>
      <c r="D180" s="8" t="s">
        <v>110</v>
      </c>
      <c r="E180" s="9"/>
      <c r="F180" s="10" t="n">
        <f aca="false">IF($E180="",$N180,MAX($N180,INDEX($N$6:$N$225,MATCH($E180,$B$6:$B$225,0))))</f>
        <v>55</v>
      </c>
      <c r="G180" s="7" t="str">
        <f aca="false">IF($E180="",VLOOKUP($D180,Категории!$A$5:$C$17,3,FALSE()),"п. 21 — по пом. "&amp;$E180)</f>
        <v>п. 28</v>
      </c>
      <c r="H180" s="5" t="n">
        <f aca="false">MAX($F180+15,65)</f>
        <v>70</v>
      </c>
      <c r="I180" s="7" t="s">
        <v>111</v>
      </c>
      <c r="J180" s="7" t="s">
        <v>21</v>
      </c>
      <c r="K180" s="11" t="s">
        <v>22</v>
      </c>
      <c r="L180" s="7" t="str">
        <f aca="false">IF($K180="Звуковой","не требуется (звуковой способ)",IF($F180&lt;=65,"упрощённая оценка (п. 6.11.3)","нужен расчёт (прил. В / ПО изготовителя)"))</f>
        <v>упрощённая оценка (п. 6.11.3)</v>
      </c>
      <c r="M180" s="7"/>
      <c r="N180" s="12" t="n">
        <f aca="false">VLOOKUP($D180,Категории!$A$5:$C$17,2,FALSE())</f>
        <v>55</v>
      </c>
    </row>
    <row r="181" customFormat="false" ht="15" hidden="false" customHeight="false" outlineLevel="0" collapsed="false">
      <c r="A181" s="5" t="n">
        <v>3</v>
      </c>
      <c r="B181" s="6" t="s">
        <v>276</v>
      </c>
      <c r="C181" s="7" t="s">
        <v>35</v>
      </c>
      <c r="D181" s="8" t="s">
        <v>36</v>
      </c>
      <c r="E181" s="9"/>
      <c r="F181" s="10" t="n">
        <f aca="false">IF($E181="",$N181,MAX($N181,INDEX($N$6:$N$225,MATCH($E181,$B$6:$B$225,0))))</f>
        <v>60</v>
      </c>
      <c r="G181" s="7" t="str">
        <f aca="false">IF($E181="",VLOOKUP($D181,Категории!$A$5:$C$17,3,FALSE()),"п. 21 — по пом. "&amp;$E181)</f>
        <v>п. 21</v>
      </c>
      <c r="H181" s="5" t="n">
        <f aca="false">MAX($F181+15,65)</f>
        <v>75</v>
      </c>
      <c r="I181" s="7" t="s">
        <v>20</v>
      </c>
      <c r="J181" s="7" t="s">
        <v>21</v>
      </c>
      <c r="K181" s="11" t="s">
        <v>22</v>
      </c>
      <c r="L181" s="7" t="str">
        <f aca="false">IF($K181="Звуковой","не требуется (звуковой способ)",IF($F181&lt;=65,"упрощённая оценка (п. 6.11.3)","нужен расчёт (прил. В / ПО изготовителя)"))</f>
        <v>упрощённая оценка (п. 6.11.3)</v>
      </c>
      <c r="M181" s="7"/>
      <c r="N181" s="12" t="n">
        <f aca="false">VLOOKUP($D181,Категории!$A$5:$C$17,2,FALSE())</f>
        <v>60</v>
      </c>
    </row>
    <row r="182" customFormat="false" ht="23.85" hidden="false" customHeight="false" outlineLevel="0" collapsed="false">
      <c r="A182" s="5" t="n">
        <v>3</v>
      </c>
      <c r="B182" s="6" t="s">
        <v>277</v>
      </c>
      <c r="C182" s="7" t="s">
        <v>109</v>
      </c>
      <c r="D182" s="8" t="s">
        <v>110</v>
      </c>
      <c r="E182" s="9"/>
      <c r="F182" s="10" t="n">
        <f aca="false">IF($E182="",$N182,MAX($N182,INDEX($N$6:$N$225,MATCH($E182,$B$6:$B$225,0))))</f>
        <v>55</v>
      </c>
      <c r="G182" s="7" t="str">
        <f aca="false">IF($E182="",VLOOKUP($D182,Категории!$A$5:$C$17,3,FALSE()),"п. 21 — по пом. "&amp;$E182)</f>
        <v>п. 28</v>
      </c>
      <c r="H182" s="5" t="n">
        <f aca="false">MAX($F182+15,65)</f>
        <v>70</v>
      </c>
      <c r="I182" s="7" t="s">
        <v>111</v>
      </c>
      <c r="J182" s="7" t="s">
        <v>21</v>
      </c>
      <c r="K182" s="11" t="s">
        <v>22</v>
      </c>
      <c r="L182" s="7" t="str">
        <f aca="false">IF($K182="Звуковой","не требуется (звуковой способ)",IF($F182&lt;=65,"упрощённая оценка (п. 6.11.3)","нужен расчёт (прил. В / ПО изготовителя)"))</f>
        <v>упрощённая оценка (п. 6.11.3)</v>
      </c>
      <c r="M182" s="7"/>
      <c r="N182" s="12" t="n">
        <f aca="false">VLOOKUP($D182,Категории!$A$5:$C$17,2,FALSE())</f>
        <v>55</v>
      </c>
    </row>
    <row r="183" customFormat="false" ht="15" hidden="false" customHeight="false" outlineLevel="0" collapsed="false">
      <c r="A183" s="5" t="n">
        <v>3</v>
      </c>
      <c r="B183" s="6" t="s">
        <v>278</v>
      </c>
      <c r="C183" s="7" t="s">
        <v>35</v>
      </c>
      <c r="D183" s="8" t="s">
        <v>36</v>
      </c>
      <c r="E183" s="9"/>
      <c r="F183" s="10" t="n">
        <f aca="false">IF($E183="",$N183,MAX($N183,INDEX($N$6:$N$225,MATCH($E183,$B$6:$B$225,0))))</f>
        <v>60</v>
      </c>
      <c r="G183" s="7" t="str">
        <f aca="false">IF($E183="",VLOOKUP($D183,Категории!$A$5:$C$17,3,FALSE()),"п. 21 — по пом. "&amp;$E183)</f>
        <v>п. 21</v>
      </c>
      <c r="H183" s="5" t="n">
        <f aca="false">MAX($F183+15,65)</f>
        <v>75</v>
      </c>
      <c r="I183" s="7" t="s">
        <v>20</v>
      </c>
      <c r="J183" s="7" t="s">
        <v>21</v>
      </c>
      <c r="K183" s="11" t="s">
        <v>22</v>
      </c>
      <c r="L183" s="7" t="str">
        <f aca="false">IF($K183="Звуковой","не требуется (звуковой способ)",IF($F183&lt;=65,"упрощённая оценка (п. 6.11.3)","нужен расчёт (прил. В / ПО изготовителя)"))</f>
        <v>упрощённая оценка (п. 6.11.3)</v>
      </c>
      <c r="M183" s="7"/>
      <c r="N183" s="12" t="n">
        <f aca="false">VLOOKUP($D183,Категории!$A$5:$C$17,2,FALSE())</f>
        <v>60</v>
      </c>
    </row>
    <row r="184" customFormat="false" ht="15" hidden="false" customHeight="false" outlineLevel="0" collapsed="false">
      <c r="A184" s="5" t="n">
        <v>3</v>
      </c>
      <c r="B184" s="6" t="s">
        <v>279</v>
      </c>
      <c r="C184" s="7" t="s">
        <v>43</v>
      </c>
      <c r="D184" s="8" t="s">
        <v>36</v>
      </c>
      <c r="E184" s="9"/>
      <c r="F184" s="10" t="n">
        <f aca="false">IF($E184="",$N184,MAX($N184,INDEX($N$6:$N$225,MATCH($E184,$B$6:$B$225,0))))</f>
        <v>60</v>
      </c>
      <c r="G184" s="7" t="str">
        <f aca="false">IF($E184="",VLOOKUP($D184,Категории!$A$5:$C$17,3,FALSE()),"п. 21 — по пом. "&amp;$E184)</f>
        <v>п. 21</v>
      </c>
      <c r="H184" s="5" t="n">
        <f aca="false">MAX($F184+15,65)</f>
        <v>75</v>
      </c>
      <c r="I184" s="7" t="s">
        <v>20</v>
      </c>
      <c r="J184" s="7" t="s">
        <v>21</v>
      </c>
      <c r="K184" s="11" t="s">
        <v>22</v>
      </c>
      <c r="L184" s="7" t="str">
        <f aca="false">IF($K184="Звуковой","не требуется (звуковой способ)",IF($F184&lt;=65,"упрощённая оценка (п. 6.11.3)","нужен расчёт (прил. В / ПО изготовителя)"))</f>
        <v>упрощённая оценка (п. 6.11.3)</v>
      </c>
      <c r="M184" s="7"/>
      <c r="N184" s="12" t="n">
        <f aca="false">VLOOKUP($D184,Категории!$A$5:$C$17,2,FALSE())</f>
        <v>60</v>
      </c>
    </row>
    <row r="185" customFormat="false" ht="15" hidden="false" customHeight="false" outlineLevel="0" collapsed="false">
      <c r="A185" s="5" t="n">
        <v>3</v>
      </c>
      <c r="B185" s="6" t="s">
        <v>280</v>
      </c>
      <c r="C185" s="7" t="s">
        <v>61</v>
      </c>
      <c r="D185" s="8" t="s">
        <v>58</v>
      </c>
      <c r="E185" s="9"/>
      <c r="F185" s="10" t="n">
        <f aca="false">IF($E185="",$N185,MAX($N185,INDEX($N$6:$N$225,MATCH($E185,$B$6:$B$225,0))))</f>
        <v>60</v>
      </c>
      <c r="G185" s="7" t="str">
        <f aca="false">IF($E185="",VLOOKUP($D185,Категории!$A$5:$C$17,3,FALSE()),"п. 21 — по пом. "&amp;$E185)</f>
        <v>п. 6</v>
      </c>
      <c r="H185" s="5" t="n">
        <f aca="false">MAX($F185+15,65)</f>
        <v>75</v>
      </c>
      <c r="I185" s="7" t="s">
        <v>20</v>
      </c>
      <c r="J185" s="7" t="s">
        <v>21</v>
      </c>
      <c r="K185" s="11" t="s">
        <v>22</v>
      </c>
      <c r="L185" s="7" t="str">
        <f aca="false">IF($K185="Звуковой","не требуется (звуковой способ)",IF($F185&lt;=65,"упрощённая оценка (п. 6.11.3)","нужен расчёт (прил. В / ПО изготовителя)"))</f>
        <v>упрощённая оценка (п. 6.11.3)</v>
      </c>
      <c r="M185" s="7"/>
      <c r="N185" s="12" t="n">
        <f aca="false">VLOOKUP($D185,Категории!$A$5:$C$17,2,FALSE())</f>
        <v>60</v>
      </c>
    </row>
    <row r="186" customFormat="false" ht="15" hidden="false" customHeight="false" outlineLevel="0" collapsed="false">
      <c r="A186" s="5" t="n">
        <v>4</v>
      </c>
      <c r="B186" s="6" t="s">
        <v>281</v>
      </c>
      <c r="C186" s="7" t="s">
        <v>158</v>
      </c>
      <c r="D186" s="8" t="s">
        <v>58</v>
      </c>
      <c r="E186" s="9"/>
      <c r="F186" s="10" t="n">
        <f aca="false">IF($E186="",$N186,MAX($N186,INDEX($N$6:$N$225,MATCH($E186,$B$6:$B$225,0))))</f>
        <v>60</v>
      </c>
      <c r="G186" s="7" t="str">
        <f aca="false">IF($E186="",VLOOKUP($D186,Категории!$A$5:$C$17,3,FALSE()),"п. 21 — по пом. "&amp;$E186)</f>
        <v>п. 6</v>
      </c>
      <c r="H186" s="5" t="n">
        <f aca="false">MAX($F186+15,65)</f>
        <v>75</v>
      </c>
      <c r="I186" s="7" t="s">
        <v>20</v>
      </c>
      <c r="J186" s="7" t="s">
        <v>21</v>
      </c>
      <c r="K186" s="11" t="s">
        <v>22</v>
      </c>
      <c r="L186" s="7" t="str">
        <f aca="false">IF($K186="Звуковой","не требуется (звуковой способ)",IF($F186&lt;=65,"упрощённая оценка (п. 6.11.3)","нужен расчёт (прил. В / ПО изготовителя)"))</f>
        <v>упрощённая оценка (п. 6.11.3)</v>
      </c>
      <c r="M186" s="7"/>
      <c r="N186" s="12" t="n">
        <f aca="false">VLOOKUP($D186,Категории!$A$5:$C$17,2,FALSE())</f>
        <v>60</v>
      </c>
    </row>
    <row r="187" customFormat="false" ht="15" hidden="false" customHeight="false" outlineLevel="0" collapsed="false">
      <c r="A187" s="5" t="n">
        <v>4</v>
      </c>
      <c r="B187" s="6" t="s">
        <v>282</v>
      </c>
      <c r="C187" s="7" t="s">
        <v>61</v>
      </c>
      <c r="D187" s="8" t="s">
        <v>58</v>
      </c>
      <c r="E187" s="9"/>
      <c r="F187" s="10" t="n">
        <f aca="false">IF($E187="",$N187,MAX($N187,INDEX($N$6:$N$225,MATCH($E187,$B$6:$B$225,0))))</f>
        <v>60</v>
      </c>
      <c r="G187" s="7" t="str">
        <f aca="false">IF($E187="",VLOOKUP($D187,Категории!$A$5:$C$17,3,FALSE()),"п. 21 — по пом. "&amp;$E187)</f>
        <v>п. 6</v>
      </c>
      <c r="H187" s="5" t="n">
        <f aca="false">MAX($F187+15,65)</f>
        <v>75</v>
      </c>
      <c r="I187" s="7" t="s">
        <v>20</v>
      </c>
      <c r="J187" s="7" t="s">
        <v>21</v>
      </c>
      <c r="K187" s="11" t="s">
        <v>22</v>
      </c>
      <c r="L187" s="7" t="str">
        <f aca="false">IF($K187="Звуковой","не требуется (звуковой способ)",IF($F187&lt;=65,"упрощённая оценка (п. 6.11.3)","нужен расчёт (прил. В / ПО изготовителя)"))</f>
        <v>упрощённая оценка (п. 6.11.3)</v>
      </c>
      <c r="M187" s="7"/>
      <c r="N187" s="12" t="n">
        <f aca="false">VLOOKUP($D187,Категории!$A$5:$C$17,2,FALSE())</f>
        <v>60</v>
      </c>
    </row>
    <row r="188" customFormat="false" ht="15" hidden="false" customHeight="false" outlineLevel="0" collapsed="false">
      <c r="A188" s="5" t="n">
        <v>4</v>
      </c>
      <c r="B188" s="6" t="s">
        <v>283</v>
      </c>
      <c r="C188" s="7" t="s">
        <v>158</v>
      </c>
      <c r="D188" s="8" t="s">
        <v>58</v>
      </c>
      <c r="E188" s="9"/>
      <c r="F188" s="10" t="n">
        <f aca="false">IF($E188="",$N188,MAX($N188,INDEX($N$6:$N$225,MATCH($E188,$B$6:$B$225,0))))</f>
        <v>60</v>
      </c>
      <c r="G188" s="7" t="str">
        <f aca="false">IF($E188="",VLOOKUP($D188,Категории!$A$5:$C$17,3,FALSE()),"п. 21 — по пом. "&amp;$E188)</f>
        <v>п. 6</v>
      </c>
      <c r="H188" s="5" t="n">
        <f aca="false">MAX($F188+15,65)</f>
        <v>75</v>
      </c>
      <c r="I188" s="7" t="s">
        <v>20</v>
      </c>
      <c r="J188" s="7" t="s">
        <v>21</v>
      </c>
      <c r="K188" s="11" t="s">
        <v>22</v>
      </c>
      <c r="L188" s="7" t="str">
        <f aca="false">IF($K188="Звуковой","не требуется (звуковой способ)",IF($F188&lt;=65,"упрощённая оценка (п. 6.11.3)","нужен расчёт (прил. В / ПО изготовителя)"))</f>
        <v>упрощённая оценка (п. 6.11.3)</v>
      </c>
      <c r="M188" s="7"/>
      <c r="N188" s="12" t="n">
        <f aca="false">VLOOKUP($D188,Категории!$A$5:$C$17,2,FALSE())</f>
        <v>60</v>
      </c>
    </row>
    <row r="189" customFormat="false" ht="15" hidden="false" customHeight="false" outlineLevel="0" collapsed="false">
      <c r="A189" s="5" t="n">
        <v>4</v>
      </c>
      <c r="B189" s="6" t="s">
        <v>284</v>
      </c>
      <c r="C189" s="7" t="s">
        <v>61</v>
      </c>
      <c r="D189" s="8" t="s">
        <v>58</v>
      </c>
      <c r="E189" s="9"/>
      <c r="F189" s="10" t="n">
        <f aca="false">IF($E189="",$N189,MAX($N189,INDEX($N$6:$N$225,MATCH($E189,$B$6:$B$225,0))))</f>
        <v>60</v>
      </c>
      <c r="G189" s="7" t="str">
        <f aca="false">IF($E189="",VLOOKUP($D189,Категории!$A$5:$C$17,3,FALSE()),"п. 21 — по пом. "&amp;$E189)</f>
        <v>п. 6</v>
      </c>
      <c r="H189" s="5" t="n">
        <f aca="false">MAX($F189+15,65)</f>
        <v>75</v>
      </c>
      <c r="I189" s="7" t="s">
        <v>20</v>
      </c>
      <c r="J189" s="7" t="s">
        <v>21</v>
      </c>
      <c r="K189" s="11" t="s">
        <v>22</v>
      </c>
      <c r="L189" s="7" t="str">
        <f aca="false">IF($K189="Звуковой","не требуется (звуковой способ)",IF($F189&lt;=65,"упрощённая оценка (п. 6.11.3)","нужен расчёт (прил. В / ПО изготовителя)"))</f>
        <v>упрощённая оценка (п. 6.11.3)</v>
      </c>
      <c r="M189" s="7"/>
      <c r="N189" s="12" t="n">
        <f aca="false">VLOOKUP($D189,Категории!$A$5:$C$17,2,FALSE())</f>
        <v>60</v>
      </c>
    </row>
    <row r="190" customFormat="false" ht="15" hidden="false" customHeight="false" outlineLevel="0" collapsed="false">
      <c r="A190" s="5" t="n">
        <v>4</v>
      </c>
      <c r="B190" s="6" t="s">
        <v>285</v>
      </c>
      <c r="C190" s="7" t="s">
        <v>158</v>
      </c>
      <c r="D190" s="8" t="s">
        <v>58</v>
      </c>
      <c r="E190" s="9"/>
      <c r="F190" s="10" t="n">
        <f aca="false">IF($E190="",$N190,MAX($N190,INDEX($N$6:$N$225,MATCH($E190,$B$6:$B$225,0))))</f>
        <v>60</v>
      </c>
      <c r="G190" s="7" t="str">
        <f aca="false">IF($E190="",VLOOKUP($D190,Категории!$A$5:$C$17,3,FALSE()),"п. 21 — по пом. "&amp;$E190)</f>
        <v>п. 6</v>
      </c>
      <c r="H190" s="5" t="n">
        <f aca="false">MAX($F190+15,65)</f>
        <v>75</v>
      </c>
      <c r="I190" s="7" t="s">
        <v>20</v>
      </c>
      <c r="J190" s="7" t="s">
        <v>21</v>
      </c>
      <c r="K190" s="11" t="s">
        <v>22</v>
      </c>
      <c r="L190" s="7" t="str">
        <f aca="false">IF($K190="Звуковой","не требуется (звуковой способ)",IF($F190&lt;=65,"упрощённая оценка (п. 6.11.3)","нужен расчёт (прил. В / ПО изготовителя)"))</f>
        <v>упрощённая оценка (п. 6.11.3)</v>
      </c>
      <c r="M190" s="7"/>
      <c r="N190" s="12" t="n">
        <f aca="false">VLOOKUP($D190,Категории!$A$5:$C$17,2,FALSE())</f>
        <v>60</v>
      </c>
    </row>
    <row r="191" customFormat="false" ht="15" hidden="false" customHeight="false" outlineLevel="0" collapsed="false">
      <c r="A191" s="5" t="n">
        <v>4</v>
      </c>
      <c r="B191" s="6" t="s">
        <v>286</v>
      </c>
      <c r="C191" s="7" t="s">
        <v>61</v>
      </c>
      <c r="D191" s="8" t="s">
        <v>58</v>
      </c>
      <c r="E191" s="9"/>
      <c r="F191" s="10" t="n">
        <f aca="false">IF($E191="",$N191,MAX($N191,INDEX($N$6:$N$225,MATCH($E191,$B$6:$B$225,0))))</f>
        <v>60</v>
      </c>
      <c r="G191" s="7" t="str">
        <f aca="false">IF($E191="",VLOOKUP($D191,Категории!$A$5:$C$17,3,FALSE()),"п. 21 — по пом. "&amp;$E191)</f>
        <v>п. 6</v>
      </c>
      <c r="H191" s="5" t="n">
        <f aca="false">MAX($F191+15,65)</f>
        <v>75</v>
      </c>
      <c r="I191" s="7" t="s">
        <v>20</v>
      </c>
      <c r="J191" s="7" t="s">
        <v>21</v>
      </c>
      <c r="K191" s="11" t="s">
        <v>22</v>
      </c>
      <c r="L191" s="7" t="str">
        <f aca="false">IF($K191="Звуковой","не требуется (звуковой способ)",IF($F191&lt;=65,"упрощённая оценка (п. 6.11.3)","нужен расчёт (прил. В / ПО изготовителя)"))</f>
        <v>упрощённая оценка (п. 6.11.3)</v>
      </c>
      <c r="M191" s="7"/>
      <c r="N191" s="12" t="n">
        <f aca="false">VLOOKUP($D191,Категории!$A$5:$C$17,2,FALSE())</f>
        <v>60</v>
      </c>
    </row>
    <row r="192" customFormat="false" ht="15" hidden="false" customHeight="false" outlineLevel="0" collapsed="false">
      <c r="A192" s="5" t="n">
        <v>4</v>
      </c>
      <c r="B192" s="6" t="s">
        <v>287</v>
      </c>
      <c r="C192" s="7" t="s">
        <v>43</v>
      </c>
      <c r="D192" s="8" t="s">
        <v>36</v>
      </c>
      <c r="E192" s="9"/>
      <c r="F192" s="10" t="n">
        <f aca="false">IF($E192="",$N192,MAX($N192,INDEX($N$6:$N$225,MATCH($E192,$B$6:$B$225,0))))</f>
        <v>60</v>
      </c>
      <c r="G192" s="7" t="str">
        <f aca="false">IF($E192="",VLOOKUP($D192,Категории!$A$5:$C$17,3,FALSE()),"п. 21 — по пом. "&amp;$E192)</f>
        <v>п. 21</v>
      </c>
      <c r="H192" s="5" t="n">
        <f aca="false">MAX($F192+15,65)</f>
        <v>75</v>
      </c>
      <c r="I192" s="7" t="s">
        <v>20</v>
      </c>
      <c r="J192" s="7" t="s">
        <v>21</v>
      </c>
      <c r="K192" s="11" t="s">
        <v>22</v>
      </c>
      <c r="L192" s="7" t="str">
        <f aca="false">IF($K192="Звуковой","не требуется (звуковой способ)",IF($F192&lt;=65,"упрощённая оценка (п. 6.11.3)","нужен расчёт (прил. В / ПО изготовителя)"))</f>
        <v>упрощённая оценка (п. 6.11.3)</v>
      </c>
      <c r="M192" s="7"/>
      <c r="N192" s="12" t="n">
        <f aca="false">VLOOKUP($D192,Категории!$A$5:$C$17,2,FALSE())</f>
        <v>60</v>
      </c>
    </row>
    <row r="193" customFormat="false" ht="15" hidden="false" customHeight="false" outlineLevel="0" collapsed="false">
      <c r="A193" s="5" t="n">
        <v>4</v>
      </c>
      <c r="B193" s="6" t="s">
        <v>288</v>
      </c>
      <c r="C193" s="7" t="s">
        <v>35</v>
      </c>
      <c r="D193" s="8" t="s">
        <v>36</v>
      </c>
      <c r="E193" s="9"/>
      <c r="F193" s="10" t="n">
        <f aca="false">IF($E193="",$N193,MAX($N193,INDEX($N$6:$N$225,MATCH($E193,$B$6:$B$225,0))))</f>
        <v>60</v>
      </c>
      <c r="G193" s="7" t="str">
        <f aca="false">IF($E193="",VLOOKUP($D193,Категории!$A$5:$C$17,3,FALSE()),"п. 21 — по пом. "&amp;$E193)</f>
        <v>п. 21</v>
      </c>
      <c r="H193" s="5" t="n">
        <f aca="false">MAX($F193+15,65)</f>
        <v>75</v>
      </c>
      <c r="I193" s="7" t="s">
        <v>20</v>
      </c>
      <c r="J193" s="7" t="s">
        <v>21</v>
      </c>
      <c r="K193" s="11" t="s">
        <v>22</v>
      </c>
      <c r="L193" s="7" t="str">
        <f aca="false">IF($K193="Звуковой","не требуется (звуковой способ)",IF($F193&lt;=65,"упрощённая оценка (п. 6.11.3)","нужен расчёт (прил. В / ПО изготовителя)"))</f>
        <v>упрощённая оценка (п. 6.11.3)</v>
      </c>
      <c r="M193" s="7"/>
      <c r="N193" s="12" t="n">
        <f aca="false">VLOOKUP($D193,Категории!$A$5:$C$17,2,FALSE())</f>
        <v>60</v>
      </c>
    </row>
    <row r="194" customFormat="false" ht="15" hidden="false" customHeight="false" outlineLevel="0" collapsed="false">
      <c r="A194" s="5" t="n">
        <v>4</v>
      </c>
      <c r="B194" s="6" t="s">
        <v>289</v>
      </c>
      <c r="C194" s="7" t="s">
        <v>43</v>
      </c>
      <c r="D194" s="8" t="s">
        <v>36</v>
      </c>
      <c r="E194" s="9"/>
      <c r="F194" s="10" t="n">
        <f aca="false">IF($E194="",$N194,MAX($N194,INDEX($N$6:$N$225,MATCH($E194,$B$6:$B$225,0))))</f>
        <v>60</v>
      </c>
      <c r="G194" s="7" t="str">
        <f aca="false">IF($E194="",VLOOKUP($D194,Категории!$A$5:$C$17,3,FALSE()),"п. 21 — по пом. "&amp;$E194)</f>
        <v>п. 21</v>
      </c>
      <c r="H194" s="5" t="n">
        <f aca="false">MAX($F194+15,65)</f>
        <v>75</v>
      </c>
      <c r="I194" s="7" t="s">
        <v>20</v>
      </c>
      <c r="J194" s="7" t="s">
        <v>21</v>
      </c>
      <c r="K194" s="11" t="s">
        <v>22</v>
      </c>
      <c r="L194" s="7" t="str">
        <f aca="false">IF($K194="Звуковой","не требуется (звуковой способ)",IF($F194&lt;=65,"упрощённая оценка (п. 6.11.3)","нужен расчёт (прил. В / ПО изготовителя)"))</f>
        <v>упрощённая оценка (п. 6.11.3)</v>
      </c>
      <c r="M194" s="7"/>
      <c r="N194" s="12" t="n">
        <f aca="false">VLOOKUP($D194,Категории!$A$5:$C$17,2,FALSE())</f>
        <v>60</v>
      </c>
    </row>
    <row r="195" customFormat="false" ht="15" hidden="false" customHeight="false" outlineLevel="0" collapsed="false">
      <c r="A195" s="5" t="n">
        <v>4</v>
      </c>
      <c r="B195" s="6" t="s">
        <v>290</v>
      </c>
      <c r="C195" s="7" t="s">
        <v>61</v>
      </c>
      <c r="D195" s="8" t="s">
        <v>58</v>
      </c>
      <c r="E195" s="9"/>
      <c r="F195" s="10" t="n">
        <f aca="false">IF($E195="",$N195,MAX($N195,INDEX($N$6:$N$225,MATCH($E195,$B$6:$B$225,0))))</f>
        <v>60</v>
      </c>
      <c r="G195" s="7" t="str">
        <f aca="false">IF($E195="",VLOOKUP($D195,Категории!$A$5:$C$17,3,FALSE()),"п. 21 — по пом. "&amp;$E195)</f>
        <v>п. 6</v>
      </c>
      <c r="H195" s="5" t="n">
        <f aca="false">MAX($F195+15,65)</f>
        <v>75</v>
      </c>
      <c r="I195" s="7" t="s">
        <v>20</v>
      </c>
      <c r="J195" s="7" t="s">
        <v>21</v>
      </c>
      <c r="K195" s="11" t="s">
        <v>22</v>
      </c>
      <c r="L195" s="7" t="str">
        <f aca="false">IF($K195="Звуковой","не требуется (звуковой способ)",IF($F195&lt;=65,"упрощённая оценка (п. 6.11.3)","нужен расчёт (прил. В / ПО изготовителя)"))</f>
        <v>упрощённая оценка (п. 6.11.3)</v>
      </c>
      <c r="M195" s="7"/>
      <c r="N195" s="12" t="n">
        <f aca="false">VLOOKUP($D195,Категории!$A$5:$C$17,2,FALSE())</f>
        <v>60</v>
      </c>
    </row>
    <row r="196" customFormat="false" ht="15" hidden="false" customHeight="false" outlineLevel="0" collapsed="false">
      <c r="A196" s="5" t="n">
        <v>4</v>
      </c>
      <c r="B196" s="6" t="s">
        <v>291</v>
      </c>
      <c r="C196" s="7" t="s">
        <v>35</v>
      </c>
      <c r="D196" s="8" t="s">
        <v>36</v>
      </c>
      <c r="E196" s="9"/>
      <c r="F196" s="10" t="n">
        <f aca="false">IF($E196="",$N196,MAX($N196,INDEX($N$6:$N$225,MATCH($E196,$B$6:$B$225,0))))</f>
        <v>60</v>
      </c>
      <c r="G196" s="7" t="str">
        <f aca="false">IF($E196="",VLOOKUP($D196,Категории!$A$5:$C$17,3,FALSE()),"п. 21 — по пом. "&amp;$E196)</f>
        <v>п. 21</v>
      </c>
      <c r="H196" s="5" t="n">
        <f aca="false">MAX($F196+15,65)</f>
        <v>75</v>
      </c>
      <c r="I196" s="7" t="s">
        <v>20</v>
      </c>
      <c r="J196" s="7" t="s">
        <v>21</v>
      </c>
      <c r="K196" s="11" t="s">
        <v>22</v>
      </c>
      <c r="L196" s="7" t="str">
        <f aca="false">IF($K196="Звуковой","не требуется (звуковой способ)",IF($F196&lt;=65,"упрощённая оценка (п. 6.11.3)","нужен расчёт (прил. В / ПО изготовителя)"))</f>
        <v>упрощённая оценка (п. 6.11.3)</v>
      </c>
      <c r="M196" s="7"/>
      <c r="N196" s="12" t="n">
        <f aca="false">VLOOKUP($D196,Категории!$A$5:$C$17,2,FALSE())</f>
        <v>60</v>
      </c>
    </row>
    <row r="197" customFormat="false" ht="23.85" hidden="false" customHeight="false" outlineLevel="0" collapsed="false">
      <c r="A197" s="5" t="n">
        <v>4</v>
      </c>
      <c r="B197" s="6" t="s">
        <v>292</v>
      </c>
      <c r="C197" s="7" t="s">
        <v>109</v>
      </c>
      <c r="D197" s="8" t="s">
        <v>110</v>
      </c>
      <c r="E197" s="9"/>
      <c r="F197" s="10" t="n">
        <f aca="false">IF($E197="",$N197,MAX($N197,INDEX($N$6:$N$225,MATCH($E197,$B$6:$B$225,0))))</f>
        <v>55</v>
      </c>
      <c r="G197" s="7" t="str">
        <f aca="false">IF($E197="",VLOOKUP($D197,Категории!$A$5:$C$17,3,FALSE()),"п. 21 — по пом. "&amp;$E197)</f>
        <v>п. 28</v>
      </c>
      <c r="H197" s="5" t="n">
        <f aca="false">MAX($F197+15,65)</f>
        <v>70</v>
      </c>
      <c r="I197" s="7" t="s">
        <v>111</v>
      </c>
      <c r="J197" s="7" t="s">
        <v>21</v>
      </c>
      <c r="K197" s="11" t="s">
        <v>22</v>
      </c>
      <c r="L197" s="7" t="str">
        <f aca="false">IF($K197="Звуковой","не требуется (звуковой способ)",IF($F197&lt;=65,"упрощённая оценка (п. 6.11.3)","нужен расчёт (прил. В / ПО изготовителя)"))</f>
        <v>упрощённая оценка (п. 6.11.3)</v>
      </c>
      <c r="M197" s="7"/>
      <c r="N197" s="12" t="n">
        <f aca="false">VLOOKUP($D197,Категории!$A$5:$C$17,2,FALSE())</f>
        <v>55</v>
      </c>
    </row>
    <row r="198" customFormat="false" ht="35.05" hidden="false" customHeight="false" outlineLevel="0" collapsed="false">
      <c r="A198" s="5" t="n">
        <v>4</v>
      </c>
      <c r="B198" s="6" t="s">
        <v>293</v>
      </c>
      <c r="C198" s="7" t="s">
        <v>100</v>
      </c>
      <c r="D198" s="8" t="s">
        <v>46</v>
      </c>
      <c r="E198" s="9"/>
      <c r="F198" s="10" t="n">
        <f aca="false">IF($E198="",$N198,MAX($N198,INDEX($N$6:$N$225,MATCH($E198,$B$6:$B$225,0))))</f>
        <v>60</v>
      </c>
      <c r="G198" s="7" t="str">
        <f aca="false">IF($E198="",VLOOKUP($D198,Категории!$A$5:$C$17,3,FALSE()),"п. 21 — по пом. "&amp;$E198)</f>
        <v>по аналогии с п. 6</v>
      </c>
      <c r="H198" s="5" t="n">
        <f aca="false">MAX($F198+15,65)</f>
        <v>75</v>
      </c>
      <c r="I198" s="14" t="s">
        <v>101</v>
      </c>
      <c r="J198" s="7" t="s">
        <v>32</v>
      </c>
      <c r="K198" s="11" t="s">
        <v>22</v>
      </c>
      <c r="L198" s="7" t="str">
        <f aca="false">IF($K198="Звуковой","не требуется (звуковой способ)",IF($F198&lt;=65,"упрощённая оценка (п. 6.11.3)","нужен расчёт (прил. В / ПО изготовителя)"))</f>
        <v>упрощённая оценка (п. 6.11.3)</v>
      </c>
      <c r="M198" s="7"/>
      <c r="N198" s="12" t="n">
        <f aca="false">VLOOKUP($D198,Категории!$A$5:$C$17,2,FALSE())</f>
        <v>60</v>
      </c>
    </row>
    <row r="199" customFormat="false" ht="23.85" hidden="false" customHeight="false" outlineLevel="0" collapsed="false">
      <c r="A199" s="5" t="n">
        <v>4</v>
      </c>
      <c r="B199" s="6" t="s">
        <v>294</v>
      </c>
      <c r="C199" s="7" t="s">
        <v>109</v>
      </c>
      <c r="D199" s="8" t="s">
        <v>110</v>
      </c>
      <c r="E199" s="9"/>
      <c r="F199" s="10" t="n">
        <f aca="false">IF($E199="",$N199,MAX($N199,INDEX($N$6:$N$225,MATCH($E199,$B$6:$B$225,0))))</f>
        <v>55</v>
      </c>
      <c r="G199" s="7" t="str">
        <f aca="false">IF($E199="",VLOOKUP($D199,Категории!$A$5:$C$17,3,FALSE()),"п. 21 — по пом. "&amp;$E199)</f>
        <v>п. 28</v>
      </c>
      <c r="H199" s="5" t="n">
        <f aca="false">MAX($F199+15,65)</f>
        <v>70</v>
      </c>
      <c r="I199" s="7" t="s">
        <v>111</v>
      </c>
      <c r="J199" s="7" t="s">
        <v>21</v>
      </c>
      <c r="K199" s="11" t="s">
        <v>22</v>
      </c>
      <c r="L199" s="7" t="str">
        <f aca="false">IF($K199="Звуковой","не требуется (звуковой способ)",IF($F199&lt;=65,"упрощённая оценка (п. 6.11.3)","нужен расчёт (прил. В / ПО изготовителя)"))</f>
        <v>упрощённая оценка (п. 6.11.3)</v>
      </c>
      <c r="M199" s="7"/>
      <c r="N199" s="12" t="n">
        <f aca="false">VLOOKUP($D199,Категории!$A$5:$C$17,2,FALSE())</f>
        <v>55</v>
      </c>
    </row>
    <row r="200" customFormat="false" ht="23.85" hidden="false" customHeight="false" outlineLevel="0" collapsed="false">
      <c r="A200" s="5" t="n">
        <v>4</v>
      </c>
      <c r="B200" s="6" t="s">
        <v>295</v>
      </c>
      <c r="C200" s="7" t="s">
        <v>109</v>
      </c>
      <c r="D200" s="8" t="s">
        <v>110</v>
      </c>
      <c r="E200" s="9"/>
      <c r="F200" s="10" t="n">
        <f aca="false">IF($E200="",$N200,MAX($N200,INDEX($N$6:$N$225,MATCH($E200,$B$6:$B$225,0))))</f>
        <v>55</v>
      </c>
      <c r="G200" s="7" t="str">
        <f aca="false">IF($E200="",VLOOKUP($D200,Категории!$A$5:$C$17,3,FALSE()),"п. 21 — по пом. "&amp;$E200)</f>
        <v>п. 28</v>
      </c>
      <c r="H200" s="5" t="n">
        <f aca="false">MAX($F200+15,65)</f>
        <v>70</v>
      </c>
      <c r="I200" s="7" t="s">
        <v>111</v>
      </c>
      <c r="J200" s="7" t="s">
        <v>21</v>
      </c>
      <c r="K200" s="11" t="s">
        <v>22</v>
      </c>
      <c r="L200" s="7" t="str">
        <f aca="false">IF($K200="Звуковой","не требуется (звуковой способ)",IF($F200&lt;=65,"упрощённая оценка (п. 6.11.3)","нужен расчёт (прил. В / ПО изготовителя)"))</f>
        <v>упрощённая оценка (п. 6.11.3)</v>
      </c>
      <c r="M200" s="7"/>
      <c r="N200" s="12" t="n">
        <f aca="false">VLOOKUP($D200,Категории!$A$5:$C$17,2,FALSE())</f>
        <v>55</v>
      </c>
    </row>
    <row r="201" customFormat="false" ht="15" hidden="false" customHeight="false" outlineLevel="0" collapsed="false">
      <c r="A201" s="5" t="n">
        <v>4</v>
      </c>
      <c r="B201" s="6" t="s">
        <v>296</v>
      </c>
      <c r="C201" s="7" t="s">
        <v>35</v>
      </c>
      <c r="D201" s="8" t="s">
        <v>36</v>
      </c>
      <c r="E201" s="9"/>
      <c r="F201" s="10" t="n">
        <f aca="false">IF($E201="",$N201,MAX($N201,INDEX($N$6:$N$225,MATCH($E201,$B$6:$B$225,0))))</f>
        <v>60</v>
      </c>
      <c r="G201" s="7" t="str">
        <f aca="false">IF($E201="",VLOOKUP($D201,Категории!$A$5:$C$17,3,FALSE()),"п. 21 — по пом. "&amp;$E201)</f>
        <v>п. 21</v>
      </c>
      <c r="H201" s="5" t="n">
        <f aca="false">MAX($F201+15,65)</f>
        <v>75</v>
      </c>
      <c r="I201" s="7" t="s">
        <v>20</v>
      </c>
      <c r="J201" s="7" t="s">
        <v>21</v>
      </c>
      <c r="K201" s="11" t="s">
        <v>22</v>
      </c>
      <c r="L201" s="7" t="str">
        <f aca="false">IF($K201="Звуковой","не требуется (звуковой способ)",IF($F201&lt;=65,"упрощённая оценка (п. 6.11.3)","нужен расчёт (прил. В / ПО изготовителя)"))</f>
        <v>упрощённая оценка (п. 6.11.3)</v>
      </c>
      <c r="M201" s="7"/>
      <c r="N201" s="12" t="n">
        <f aca="false">VLOOKUP($D201,Категории!$A$5:$C$17,2,FALSE())</f>
        <v>60</v>
      </c>
    </row>
    <row r="202" customFormat="false" ht="15" hidden="false" customHeight="false" outlineLevel="0" collapsed="false">
      <c r="A202" s="5" t="n">
        <v>4</v>
      </c>
      <c r="B202" s="6" t="s">
        <v>297</v>
      </c>
      <c r="C202" s="7" t="s">
        <v>61</v>
      </c>
      <c r="D202" s="8" t="s">
        <v>58</v>
      </c>
      <c r="E202" s="9"/>
      <c r="F202" s="10" t="n">
        <f aca="false">IF($E202="",$N202,MAX($N202,INDEX($N$6:$N$225,MATCH($E202,$B$6:$B$225,0))))</f>
        <v>60</v>
      </c>
      <c r="G202" s="7" t="str">
        <f aca="false">IF($E202="",VLOOKUP($D202,Категории!$A$5:$C$17,3,FALSE()),"п. 21 — по пом. "&amp;$E202)</f>
        <v>п. 6</v>
      </c>
      <c r="H202" s="5" t="n">
        <f aca="false">MAX($F202+15,65)</f>
        <v>75</v>
      </c>
      <c r="I202" s="7" t="s">
        <v>20</v>
      </c>
      <c r="J202" s="7" t="s">
        <v>21</v>
      </c>
      <c r="K202" s="11" t="s">
        <v>22</v>
      </c>
      <c r="L202" s="7" t="str">
        <f aca="false">IF($K202="Звуковой","не требуется (звуковой способ)",IF($F202&lt;=65,"упрощённая оценка (п. 6.11.3)","нужен расчёт (прил. В / ПО изготовителя)"))</f>
        <v>упрощённая оценка (п. 6.11.3)</v>
      </c>
      <c r="M202" s="7"/>
      <c r="N202" s="12" t="n">
        <f aca="false">VLOOKUP($D202,Категории!$A$5:$C$17,2,FALSE())</f>
        <v>60</v>
      </c>
    </row>
    <row r="203" customFormat="false" ht="15" hidden="false" customHeight="false" outlineLevel="0" collapsed="false">
      <c r="A203" s="5" t="n">
        <v>4</v>
      </c>
      <c r="B203" s="6" t="s">
        <v>298</v>
      </c>
      <c r="C203" s="7" t="s">
        <v>158</v>
      </c>
      <c r="D203" s="8" t="s">
        <v>58</v>
      </c>
      <c r="E203" s="9"/>
      <c r="F203" s="10" t="n">
        <f aca="false">IF($E203="",$N203,MAX($N203,INDEX($N$6:$N$225,MATCH($E203,$B$6:$B$225,0))))</f>
        <v>60</v>
      </c>
      <c r="G203" s="7" t="str">
        <f aca="false">IF($E203="",VLOOKUP($D203,Категории!$A$5:$C$17,3,FALSE()),"п. 21 — по пом. "&amp;$E203)</f>
        <v>п. 6</v>
      </c>
      <c r="H203" s="5" t="n">
        <f aca="false">MAX($F203+15,65)</f>
        <v>75</v>
      </c>
      <c r="I203" s="7" t="s">
        <v>20</v>
      </c>
      <c r="J203" s="7" t="s">
        <v>21</v>
      </c>
      <c r="K203" s="11" t="s">
        <v>22</v>
      </c>
      <c r="L203" s="7" t="str">
        <f aca="false">IF($K203="Звуковой","не требуется (звуковой способ)",IF($F203&lt;=65,"упрощённая оценка (п. 6.11.3)","нужен расчёт (прил. В / ПО изготовителя)"))</f>
        <v>упрощённая оценка (п. 6.11.3)</v>
      </c>
      <c r="M203" s="7"/>
      <c r="N203" s="12" t="n">
        <f aca="false">VLOOKUP($D203,Категории!$A$5:$C$17,2,FALSE())</f>
        <v>60</v>
      </c>
    </row>
    <row r="204" customFormat="false" ht="15" hidden="false" customHeight="false" outlineLevel="0" collapsed="false">
      <c r="A204" s="5" t="n">
        <v>4</v>
      </c>
      <c r="B204" s="6" t="s">
        <v>299</v>
      </c>
      <c r="C204" s="7" t="s">
        <v>61</v>
      </c>
      <c r="D204" s="8" t="s">
        <v>58</v>
      </c>
      <c r="E204" s="9"/>
      <c r="F204" s="10" t="n">
        <f aca="false">IF($E204="",$N204,MAX($N204,INDEX($N$6:$N$225,MATCH($E204,$B$6:$B$225,0))))</f>
        <v>60</v>
      </c>
      <c r="G204" s="7" t="str">
        <f aca="false">IF($E204="",VLOOKUP($D204,Категории!$A$5:$C$17,3,FALSE()),"п. 21 — по пом. "&amp;$E204)</f>
        <v>п. 6</v>
      </c>
      <c r="H204" s="5" t="n">
        <f aca="false">MAX($F204+15,65)</f>
        <v>75</v>
      </c>
      <c r="I204" s="7" t="s">
        <v>20</v>
      </c>
      <c r="J204" s="7" t="s">
        <v>21</v>
      </c>
      <c r="K204" s="11" t="s">
        <v>22</v>
      </c>
      <c r="L204" s="7" t="str">
        <f aca="false">IF($K204="Звуковой","не требуется (звуковой способ)",IF($F204&lt;=65,"упрощённая оценка (п. 6.11.3)","нужен расчёт (прил. В / ПО изготовителя)"))</f>
        <v>упрощённая оценка (п. 6.11.3)</v>
      </c>
      <c r="M204" s="7"/>
      <c r="N204" s="12" t="n">
        <f aca="false">VLOOKUP($D204,Категории!$A$5:$C$17,2,FALSE())</f>
        <v>60</v>
      </c>
    </row>
    <row r="205" customFormat="false" ht="15" hidden="false" customHeight="false" outlineLevel="0" collapsed="false">
      <c r="A205" s="5" t="n">
        <v>4</v>
      </c>
      <c r="B205" s="6" t="s">
        <v>300</v>
      </c>
      <c r="C205" s="7" t="s">
        <v>61</v>
      </c>
      <c r="D205" s="8" t="s">
        <v>58</v>
      </c>
      <c r="E205" s="9"/>
      <c r="F205" s="10" t="n">
        <f aca="false">IF($E205="",$N205,MAX($N205,INDEX($N$6:$N$225,MATCH($E205,$B$6:$B$225,0))))</f>
        <v>60</v>
      </c>
      <c r="G205" s="7" t="str">
        <f aca="false">IF($E205="",VLOOKUP($D205,Категории!$A$5:$C$17,3,FALSE()),"п. 21 — по пом. "&amp;$E205)</f>
        <v>п. 6</v>
      </c>
      <c r="H205" s="5" t="n">
        <f aca="false">MAX($F205+15,65)</f>
        <v>75</v>
      </c>
      <c r="I205" s="7" t="s">
        <v>20</v>
      </c>
      <c r="J205" s="7" t="s">
        <v>21</v>
      </c>
      <c r="K205" s="11" t="s">
        <v>22</v>
      </c>
      <c r="L205" s="7" t="str">
        <f aca="false">IF($K205="Звуковой","не требуется (звуковой способ)",IF($F205&lt;=65,"упрощённая оценка (п. 6.11.3)","нужен расчёт (прил. В / ПО изготовителя)"))</f>
        <v>упрощённая оценка (п. 6.11.3)</v>
      </c>
      <c r="M205" s="7"/>
      <c r="N205" s="12" t="n">
        <f aca="false">VLOOKUP($D205,Категории!$A$5:$C$17,2,FALSE())</f>
        <v>60</v>
      </c>
    </row>
    <row r="206" customFormat="false" ht="15" hidden="false" customHeight="false" outlineLevel="0" collapsed="false">
      <c r="A206" s="5" t="n">
        <v>4</v>
      </c>
      <c r="B206" s="6" t="s">
        <v>301</v>
      </c>
      <c r="C206" s="7" t="s">
        <v>61</v>
      </c>
      <c r="D206" s="8" t="s">
        <v>58</v>
      </c>
      <c r="E206" s="9"/>
      <c r="F206" s="10" t="n">
        <f aca="false">IF($E206="",$N206,MAX($N206,INDEX($N$6:$N$225,MATCH($E206,$B$6:$B$225,0))))</f>
        <v>60</v>
      </c>
      <c r="G206" s="7" t="str">
        <f aca="false">IF($E206="",VLOOKUP($D206,Категории!$A$5:$C$17,3,FALSE()),"п. 21 — по пом. "&amp;$E206)</f>
        <v>п. 6</v>
      </c>
      <c r="H206" s="5" t="n">
        <f aca="false">MAX($F206+15,65)</f>
        <v>75</v>
      </c>
      <c r="I206" s="7" t="s">
        <v>20</v>
      </c>
      <c r="J206" s="7" t="s">
        <v>21</v>
      </c>
      <c r="K206" s="11" t="s">
        <v>22</v>
      </c>
      <c r="L206" s="7" t="str">
        <f aca="false">IF($K206="Звуковой","не требуется (звуковой способ)",IF($F206&lt;=65,"упрощённая оценка (п. 6.11.3)","нужен расчёт (прил. В / ПО изготовителя)"))</f>
        <v>упрощённая оценка (п. 6.11.3)</v>
      </c>
      <c r="M206" s="7"/>
      <c r="N206" s="12" t="n">
        <f aca="false">VLOOKUP($D206,Категории!$A$5:$C$17,2,FALSE())</f>
        <v>60</v>
      </c>
    </row>
    <row r="207" customFormat="false" ht="15" hidden="false" customHeight="false" outlineLevel="0" collapsed="false">
      <c r="A207" s="5" t="n">
        <v>4</v>
      </c>
      <c r="B207" s="6" t="s">
        <v>302</v>
      </c>
      <c r="C207" s="7" t="s">
        <v>158</v>
      </c>
      <c r="D207" s="8" t="s">
        <v>58</v>
      </c>
      <c r="E207" s="9"/>
      <c r="F207" s="10" t="n">
        <f aca="false">IF($E207="",$N207,MAX($N207,INDEX($N$6:$N$225,MATCH($E207,$B$6:$B$225,0))))</f>
        <v>60</v>
      </c>
      <c r="G207" s="7" t="str">
        <f aca="false">IF($E207="",VLOOKUP($D207,Категории!$A$5:$C$17,3,FALSE()),"п. 21 — по пом. "&amp;$E207)</f>
        <v>п. 6</v>
      </c>
      <c r="H207" s="5" t="n">
        <f aca="false">MAX($F207+15,65)</f>
        <v>75</v>
      </c>
      <c r="I207" s="7" t="s">
        <v>20</v>
      </c>
      <c r="J207" s="7" t="s">
        <v>21</v>
      </c>
      <c r="K207" s="11" t="s">
        <v>22</v>
      </c>
      <c r="L207" s="7" t="str">
        <f aca="false">IF($K207="Звуковой","не требуется (звуковой способ)",IF($F207&lt;=65,"упрощённая оценка (п. 6.11.3)","нужен расчёт (прил. В / ПО изготовителя)"))</f>
        <v>упрощённая оценка (п. 6.11.3)</v>
      </c>
      <c r="M207" s="7"/>
      <c r="N207" s="12" t="n">
        <f aca="false">VLOOKUP($D207,Категории!$A$5:$C$17,2,FALSE())</f>
        <v>60</v>
      </c>
    </row>
    <row r="208" customFormat="false" ht="15" hidden="false" customHeight="false" outlineLevel="0" collapsed="false">
      <c r="A208" s="5" t="n">
        <v>4</v>
      </c>
      <c r="B208" s="6" t="s">
        <v>303</v>
      </c>
      <c r="C208" s="7" t="s">
        <v>61</v>
      </c>
      <c r="D208" s="8" t="s">
        <v>58</v>
      </c>
      <c r="E208" s="9"/>
      <c r="F208" s="10" t="n">
        <f aca="false">IF($E208="",$N208,MAX($N208,INDEX($N$6:$N$225,MATCH($E208,$B$6:$B$225,0))))</f>
        <v>60</v>
      </c>
      <c r="G208" s="7" t="str">
        <f aca="false">IF($E208="",VLOOKUP($D208,Категории!$A$5:$C$17,3,FALSE()),"п. 21 — по пом. "&amp;$E208)</f>
        <v>п. 6</v>
      </c>
      <c r="H208" s="5" t="n">
        <f aca="false">MAX($F208+15,65)</f>
        <v>75</v>
      </c>
      <c r="I208" s="7" t="s">
        <v>20</v>
      </c>
      <c r="J208" s="7" t="s">
        <v>21</v>
      </c>
      <c r="K208" s="11" t="s">
        <v>22</v>
      </c>
      <c r="L208" s="7" t="str">
        <f aca="false">IF($K208="Звуковой","не требуется (звуковой способ)",IF($F208&lt;=65,"упрощённая оценка (п. 6.11.3)","нужен расчёт (прил. В / ПО изготовителя)"))</f>
        <v>упрощённая оценка (п. 6.11.3)</v>
      </c>
      <c r="M208" s="7"/>
      <c r="N208" s="12" t="n">
        <f aca="false">VLOOKUP($D208,Категории!$A$5:$C$17,2,FALSE())</f>
        <v>60</v>
      </c>
    </row>
    <row r="209" customFormat="false" ht="15" hidden="false" customHeight="false" outlineLevel="0" collapsed="false">
      <c r="A209" s="5" t="n">
        <v>4</v>
      </c>
      <c r="B209" s="6" t="s">
        <v>304</v>
      </c>
      <c r="C209" s="7" t="s">
        <v>61</v>
      </c>
      <c r="D209" s="8" t="s">
        <v>58</v>
      </c>
      <c r="E209" s="9"/>
      <c r="F209" s="10" t="n">
        <f aca="false">IF($E209="",$N209,MAX($N209,INDEX($N$6:$N$225,MATCH($E209,$B$6:$B$225,0))))</f>
        <v>60</v>
      </c>
      <c r="G209" s="7" t="str">
        <f aca="false">IF($E209="",VLOOKUP($D209,Категории!$A$5:$C$17,3,FALSE()),"п. 21 — по пом. "&amp;$E209)</f>
        <v>п. 6</v>
      </c>
      <c r="H209" s="5" t="n">
        <f aca="false">MAX($F209+15,65)</f>
        <v>75</v>
      </c>
      <c r="I209" s="7" t="s">
        <v>20</v>
      </c>
      <c r="J209" s="7" t="s">
        <v>21</v>
      </c>
      <c r="K209" s="11" t="s">
        <v>22</v>
      </c>
      <c r="L209" s="7" t="str">
        <f aca="false">IF($K209="Звуковой","не требуется (звуковой способ)",IF($F209&lt;=65,"упрощённая оценка (п. 6.11.3)","нужен расчёт (прил. В / ПО изготовителя)"))</f>
        <v>упрощённая оценка (п. 6.11.3)</v>
      </c>
      <c r="M209" s="7"/>
      <c r="N209" s="12" t="n">
        <f aca="false">VLOOKUP($D209,Категории!$A$5:$C$17,2,FALSE())</f>
        <v>60</v>
      </c>
    </row>
    <row r="210" customFormat="false" ht="15" hidden="false" customHeight="false" outlineLevel="0" collapsed="false">
      <c r="A210" s="5" t="n">
        <v>4</v>
      </c>
      <c r="B210" s="6" t="s">
        <v>305</v>
      </c>
      <c r="C210" s="7" t="s">
        <v>61</v>
      </c>
      <c r="D210" s="8" t="s">
        <v>58</v>
      </c>
      <c r="E210" s="9"/>
      <c r="F210" s="10" t="n">
        <f aca="false">IF($E210="",$N210,MAX($N210,INDEX($N$6:$N$225,MATCH($E210,$B$6:$B$225,0))))</f>
        <v>60</v>
      </c>
      <c r="G210" s="7" t="str">
        <f aca="false">IF($E210="",VLOOKUP($D210,Категории!$A$5:$C$17,3,FALSE()),"п. 21 — по пом. "&amp;$E210)</f>
        <v>п. 6</v>
      </c>
      <c r="H210" s="5" t="n">
        <f aca="false">MAX($F210+15,65)</f>
        <v>75</v>
      </c>
      <c r="I210" s="7" t="s">
        <v>20</v>
      </c>
      <c r="J210" s="7" t="s">
        <v>21</v>
      </c>
      <c r="K210" s="11" t="s">
        <v>22</v>
      </c>
      <c r="L210" s="7" t="str">
        <f aca="false">IF($K210="Звуковой","не требуется (звуковой способ)",IF($F210&lt;=65,"упрощённая оценка (п. 6.11.3)","нужен расчёт (прил. В / ПО изготовителя)"))</f>
        <v>упрощённая оценка (п. 6.11.3)</v>
      </c>
      <c r="M210" s="7"/>
      <c r="N210" s="12" t="n">
        <f aca="false">VLOOKUP($D210,Категории!$A$5:$C$17,2,FALSE())</f>
        <v>60</v>
      </c>
    </row>
    <row r="211" customFormat="false" ht="15" hidden="false" customHeight="false" outlineLevel="0" collapsed="false">
      <c r="A211" s="5" t="n">
        <v>4</v>
      </c>
      <c r="B211" s="6" t="s">
        <v>306</v>
      </c>
      <c r="C211" s="7" t="s">
        <v>61</v>
      </c>
      <c r="D211" s="8" t="s">
        <v>58</v>
      </c>
      <c r="E211" s="9"/>
      <c r="F211" s="10" t="n">
        <f aca="false">IF($E211="",$N211,MAX($N211,INDEX($N$6:$N$225,MATCH($E211,$B$6:$B$225,0))))</f>
        <v>60</v>
      </c>
      <c r="G211" s="7" t="str">
        <f aca="false">IF($E211="",VLOOKUP($D211,Категории!$A$5:$C$17,3,FALSE()),"п. 21 — по пом. "&amp;$E211)</f>
        <v>п. 6</v>
      </c>
      <c r="H211" s="5" t="n">
        <f aca="false">MAX($F211+15,65)</f>
        <v>75</v>
      </c>
      <c r="I211" s="7" t="s">
        <v>20</v>
      </c>
      <c r="J211" s="7" t="s">
        <v>21</v>
      </c>
      <c r="K211" s="11" t="s">
        <v>22</v>
      </c>
      <c r="L211" s="7" t="str">
        <f aca="false">IF($K211="Звуковой","не требуется (звуковой способ)",IF($F211&lt;=65,"упрощённая оценка (п. 6.11.3)","нужен расчёт (прил. В / ПО изготовителя)"))</f>
        <v>упрощённая оценка (п. 6.11.3)</v>
      </c>
      <c r="M211" s="7"/>
      <c r="N211" s="12" t="n">
        <f aca="false">VLOOKUP($D211,Категории!$A$5:$C$17,2,FALSE())</f>
        <v>60</v>
      </c>
    </row>
    <row r="212" customFormat="false" ht="15" hidden="false" customHeight="false" outlineLevel="0" collapsed="false">
      <c r="A212" s="5" t="n">
        <v>4</v>
      </c>
      <c r="B212" s="6" t="s">
        <v>307</v>
      </c>
      <c r="C212" s="7" t="s">
        <v>61</v>
      </c>
      <c r="D212" s="8" t="s">
        <v>58</v>
      </c>
      <c r="E212" s="9"/>
      <c r="F212" s="10" t="n">
        <f aca="false">IF($E212="",$N212,MAX($N212,INDEX($N$6:$N$225,MATCH($E212,$B$6:$B$225,0))))</f>
        <v>60</v>
      </c>
      <c r="G212" s="7" t="str">
        <f aca="false">IF($E212="",VLOOKUP($D212,Категории!$A$5:$C$17,3,FALSE()),"п. 21 — по пом. "&amp;$E212)</f>
        <v>п. 6</v>
      </c>
      <c r="H212" s="5" t="n">
        <f aca="false">MAX($F212+15,65)</f>
        <v>75</v>
      </c>
      <c r="I212" s="7" t="s">
        <v>20</v>
      </c>
      <c r="J212" s="7" t="s">
        <v>21</v>
      </c>
      <c r="K212" s="11" t="s">
        <v>22</v>
      </c>
      <c r="L212" s="7" t="str">
        <f aca="false">IF($K212="Звуковой","не требуется (звуковой способ)",IF($F212&lt;=65,"упрощённая оценка (п. 6.11.3)","нужен расчёт (прил. В / ПО изготовителя)"))</f>
        <v>упрощённая оценка (п. 6.11.3)</v>
      </c>
      <c r="M212" s="7"/>
      <c r="N212" s="12" t="n">
        <f aca="false">VLOOKUP($D212,Категории!$A$5:$C$17,2,FALSE())</f>
        <v>60</v>
      </c>
    </row>
    <row r="213" customFormat="false" ht="15" hidden="false" customHeight="false" outlineLevel="0" collapsed="false">
      <c r="A213" s="5" t="n">
        <v>4</v>
      </c>
      <c r="B213" s="6" t="s">
        <v>308</v>
      </c>
      <c r="C213" s="7" t="s">
        <v>61</v>
      </c>
      <c r="D213" s="8" t="s">
        <v>58</v>
      </c>
      <c r="E213" s="9"/>
      <c r="F213" s="10" t="n">
        <f aca="false">IF($E213="",$N213,MAX($N213,INDEX($N$6:$N$225,MATCH($E213,$B$6:$B$225,0))))</f>
        <v>60</v>
      </c>
      <c r="G213" s="7" t="str">
        <f aca="false">IF($E213="",VLOOKUP($D213,Категории!$A$5:$C$17,3,FALSE()),"п. 21 — по пом. "&amp;$E213)</f>
        <v>п. 6</v>
      </c>
      <c r="H213" s="5" t="n">
        <f aca="false">MAX($F213+15,65)</f>
        <v>75</v>
      </c>
      <c r="I213" s="7" t="s">
        <v>20</v>
      </c>
      <c r="J213" s="7" t="s">
        <v>21</v>
      </c>
      <c r="K213" s="11" t="s">
        <v>22</v>
      </c>
      <c r="L213" s="7" t="str">
        <f aca="false">IF($K213="Звуковой","не требуется (звуковой способ)",IF($F213&lt;=65,"упрощённая оценка (п. 6.11.3)","нужен расчёт (прил. В / ПО изготовителя)"))</f>
        <v>упрощённая оценка (п. 6.11.3)</v>
      </c>
      <c r="M213" s="7"/>
      <c r="N213" s="12" t="n">
        <f aca="false">VLOOKUP($D213,Категории!$A$5:$C$17,2,FALSE())</f>
        <v>60</v>
      </c>
    </row>
    <row r="214" customFormat="false" ht="15" hidden="false" customHeight="false" outlineLevel="0" collapsed="false">
      <c r="A214" s="5" t="n">
        <v>4</v>
      </c>
      <c r="B214" s="6" t="s">
        <v>309</v>
      </c>
      <c r="C214" s="7" t="s">
        <v>61</v>
      </c>
      <c r="D214" s="8" t="s">
        <v>58</v>
      </c>
      <c r="E214" s="9"/>
      <c r="F214" s="10" t="n">
        <f aca="false">IF($E214="",$N214,MAX($N214,INDEX($N$6:$N$225,MATCH($E214,$B$6:$B$225,0))))</f>
        <v>60</v>
      </c>
      <c r="G214" s="7" t="str">
        <f aca="false">IF($E214="",VLOOKUP($D214,Категории!$A$5:$C$17,3,FALSE()),"п. 21 — по пом. "&amp;$E214)</f>
        <v>п. 6</v>
      </c>
      <c r="H214" s="5" t="n">
        <f aca="false">MAX($F214+15,65)</f>
        <v>75</v>
      </c>
      <c r="I214" s="7" t="s">
        <v>20</v>
      </c>
      <c r="J214" s="7" t="s">
        <v>21</v>
      </c>
      <c r="K214" s="11" t="s">
        <v>22</v>
      </c>
      <c r="L214" s="7" t="str">
        <f aca="false">IF($K214="Звуковой","не требуется (звуковой способ)",IF($F214&lt;=65,"упрощённая оценка (п. 6.11.3)","нужен расчёт (прил. В / ПО изготовителя)"))</f>
        <v>упрощённая оценка (п. 6.11.3)</v>
      </c>
      <c r="M214" s="7"/>
      <c r="N214" s="12" t="n">
        <f aca="false">VLOOKUP($D214,Категории!$A$5:$C$17,2,FALSE())</f>
        <v>60</v>
      </c>
    </row>
    <row r="215" customFormat="false" ht="15" hidden="false" customHeight="false" outlineLevel="0" collapsed="false">
      <c r="A215" s="5" t="n">
        <v>4</v>
      </c>
      <c r="B215" s="6" t="s">
        <v>310</v>
      </c>
      <c r="C215" s="7" t="s">
        <v>35</v>
      </c>
      <c r="D215" s="8" t="s">
        <v>36</v>
      </c>
      <c r="E215" s="9"/>
      <c r="F215" s="10" t="n">
        <f aca="false">IF($E215="",$N215,MAX($N215,INDEX($N$6:$N$225,MATCH($E215,$B$6:$B$225,0))))</f>
        <v>60</v>
      </c>
      <c r="G215" s="7" t="str">
        <f aca="false">IF($E215="",VLOOKUP($D215,Категории!$A$5:$C$17,3,FALSE()),"п. 21 — по пом. "&amp;$E215)</f>
        <v>п. 21</v>
      </c>
      <c r="H215" s="5" t="n">
        <f aca="false">MAX($F215+15,65)</f>
        <v>75</v>
      </c>
      <c r="I215" s="7" t="s">
        <v>20</v>
      </c>
      <c r="J215" s="7" t="s">
        <v>21</v>
      </c>
      <c r="K215" s="11" t="s">
        <v>22</v>
      </c>
      <c r="L215" s="7" t="str">
        <f aca="false">IF($K215="Звуковой","не требуется (звуковой способ)",IF($F215&lt;=65,"упрощённая оценка (п. 6.11.3)","нужен расчёт (прил. В / ПО изготовителя)"))</f>
        <v>упрощённая оценка (п. 6.11.3)</v>
      </c>
      <c r="M215" s="7"/>
      <c r="N215" s="12" t="n">
        <f aca="false">VLOOKUP($D215,Категории!$A$5:$C$17,2,FALSE())</f>
        <v>60</v>
      </c>
    </row>
    <row r="216" customFormat="false" ht="15" hidden="false" customHeight="false" outlineLevel="0" collapsed="false">
      <c r="A216" s="5" t="n">
        <v>4</v>
      </c>
      <c r="B216" s="6" t="s">
        <v>311</v>
      </c>
      <c r="C216" s="7" t="s">
        <v>61</v>
      </c>
      <c r="D216" s="8" t="s">
        <v>58</v>
      </c>
      <c r="E216" s="9"/>
      <c r="F216" s="10" t="n">
        <f aca="false">IF($E216="",$N216,MAX($N216,INDEX($N$6:$N$225,MATCH($E216,$B$6:$B$225,0))))</f>
        <v>60</v>
      </c>
      <c r="G216" s="7" t="str">
        <f aca="false">IF($E216="",VLOOKUP($D216,Категории!$A$5:$C$17,3,FALSE()),"п. 21 — по пом. "&amp;$E216)</f>
        <v>п. 6</v>
      </c>
      <c r="H216" s="5" t="n">
        <f aca="false">MAX($F216+15,65)</f>
        <v>75</v>
      </c>
      <c r="I216" s="7" t="s">
        <v>20</v>
      </c>
      <c r="J216" s="7" t="s">
        <v>21</v>
      </c>
      <c r="K216" s="11" t="s">
        <v>22</v>
      </c>
      <c r="L216" s="7" t="str">
        <f aca="false">IF($K216="Звуковой","не требуется (звуковой способ)",IF($F216&lt;=65,"упрощённая оценка (п. 6.11.3)","нужен расчёт (прил. В / ПО изготовителя)"))</f>
        <v>упрощённая оценка (п. 6.11.3)</v>
      </c>
      <c r="M216" s="7"/>
      <c r="N216" s="12" t="n">
        <f aca="false">VLOOKUP($D216,Категории!$A$5:$C$17,2,FALSE())</f>
        <v>60</v>
      </c>
    </row>
    <row r="217" customFormat="false" ht="15" hidden="false" customHeight="false" outlineLevel="0" collapsed="false">
      <c r="A217" s="5" t="n">
        <v>4</v>
      </c>
      <c r="B217" s="6" t="s">
        <v>312</v>
      </c>
      <c r="C217" s="7" t="s">
        <v>61</v>
      </c>
      <c r="D217" s="8" t="s">
        <v>58</v>
      </c>
      <c r="E217" s="9"/>
      <c r="F217" s="10" t="n">
        <f aca="false">IF($E217="",$N217,MAX($N217,INDEX($N$6:$N$225,MATCH($E217,$B$6:$B$225,0))))</f>
        <v>60</v>
      </c>
      <c r="G217" s="7" t="str">
        <f aca="false">IF($E217="",VLOOKUP($D217,Категории!$A$5:$C$17,3,FALSE()),"п. 21 — по пом. "&amp;$E217)</f>
        <v>п. 6</v>
      </c>
      <c r="H217" s="5" t="n">
        <f aca="false">MAX($F217+15,65)</f>
        <v>75</v>
      </c>
      <c r="I217" s="7" t="s">
        <v>20</v>
      </c>
      <c r="J217" s="7" t="s">
        <v>21</v>
      </c>
      <c r="K217" s="11" t="s">
        <v>22</v>
      </c>
      <c r="L217" s="7" t="str">
        <f aca="false">IF($K217="Звуковой","не требуется (звуковой способ)",IF($F217&lt;=65,"упрощённая оценка (п. 6.11.3)","нужен расчёт (прил. В / ПО изготовителя)"))</f>
        <v>упрощённая оценка (п. 6.11.3)</v>
      </c>
      <c r="M217" s="7"/>
      <c r="N217" s="12" t="n">
        <f aca="false">VLOOKUP($D217,Категории!$A$5:$C$17,2,FALSE())</f>
        <v>60</v>
      </c>
    </row>
    <row r="218" customFormat="false" ht="15" hidden="false" customHeight="false" outlineLevel="0" collapsed="false">
      <c r="A218" s="5" t="n">
        <v>4</v>
      </c>
      <c r="B218" s="6" t="s">
        <v>313</v>
      </c>
      <c r="C218" s="7" t="s">
        <v>61</v>
      </c>
      <c r="D218" s="8" t="s">
        <v>58</v>
      </c>
      <c r="E218" s="9"/>
      <c r="F218" s="10" t="n">
        <f aca="false">IF($E218="",$N218,MAX($N218,INDEX($N$6:$N$225,MATCH($E218,$B$6:$B$225,0))))</f>
        <v>60</v>
      </c>
      <c r="G218" s="7" t="str">
        <f aca="false">IF($E218="",VLOOKUP($D218,Категории!$A$5:$C$17,3,FALSE()),"п. 21 — по пом. "&amp;$E218)</f>
        <v>п. 6</v>
      </c>
      <c r="H218" s="5" t="n">
        <f aca="false">MAX($F218+15,65)</f>
        <v>75</v>
      </c>
      <c r="I218" s="7" t="s">
        <v>20</v>
      </c>
      <c r="J218" s="7" t="s">
        <v>21</v>
      </c>
      <c r="K218" s="11" t="s">
        <v>22</v>
      </c>
      <c r="L218" s="7" t="str">
        <f aca="false">IF($K218="Звуковой","не требуется (звуковой способ)",IF($F218&lt;=65,"упрощённая оценка (п. 6.11.3)","нужен расчёт (прил. В / ПО изготовителя)"))</f>
        <v>упрощённая оценка (п. 6.11.3)</v>
      </c>
      <c r="M218" s="7"/>
      <c r="N218" s="12" t="n">
        <f aca="false">VLOOKUP($D218,Категории!$A$5:$C$17,2,FALSE())</f>
        <v>60</v>
      </c>
    </row>
    <row r="219" customFormat="false" ht="15" hidden="false" customHeight="false" outlineLevel="0" collapsed="false">
      <c r="A219" s="5" t="n">
        <v>4</v>
      </c>
      <c r="B219" s="6" t="s">
        <v>314</v>
      </c>
      <c r="C219" s="7" t="s">
        <v>35</v>
      </c>
      <c r="D219" s="8" t="s">
        <v>36</v>
      </c>
      <c r="E219" s="9"/>
      <c r="F219" s="10" t="n">
        <f aca="false">IF($E219="",$N219,MAX($N219,INDEX($N$6:$N$225,MATCH($E219,$B$6:$B$225,0))))</f>
        <v>60</v>
      </c>
      <c r="G219" s="7" t="str">
        <f aca="false">IF($E219="",VLOOKUP($D219,Категории!$A$5:$C$17,3,FALSE()),"п. 21 — по пом. "&amp;$E219)</f>
        <v>п. 21</v>
      </c>
      <c r="H219" s="5" t="n">
        <f aca="false">MAX($F219+15,65)</f>
        <v>75</v>
      </c>
      <c r="I219" s="7" t="s">
        <v>20</v>
      </c>
      <c r="J219" s="7" t="s">
        <v>21</v>
      </c>
      <c r="K219" s="11" t="s">
        <v>22</v>
      </c>
      <c r="L219" s="7" t="str">
        <f aca="false">IF($K219="Звуковой","не требуется (звуковой способ)",IF($F219&lt;=65,"упрощённая оценка (п. 6.11.3)","нужен расчёт (прил. В / ПО изготовителя)"))</f>
        <v>упрощённая оценка (п. 6.11.3)</v>
      </c>
      <c r="M219" s="7"/>
      <c r="N219" s="12" t="n">
        <f aca="false">VLOOKUP($D219,Категории!$A$5:$C$17,2,FALSE())</f>
        <v>60</v>
      </c>
    </row>
    <row r="220" customFormat="false" ht="23.85" hidden="false" customHeight="false" outlineLevel="0" collapsed="false">
      <c r="A220" s="5" t="n">
        <v>4</v>
      </c>
      <c r="B220" s="6" t="s">
        <v>315</v>
      </c>
      <c r="C220" s="7" t="s">
        <v>109</v>
      </c>
      <c r="D220" s="8" t="s">
        <v>110</v>
      </c>
      <c r="E220" s="9"/>
      <c r="F220" s="10" t="n">
        <f aca="false">IF($E220="",$N220,MAX($N220,INDEX($N$6:$N$225,MATCH($E220,$B$6:$B$225,0))))</f>
        <v>55</v>
      </c>
      <c r="G220" s="7" t="str">
        <f aca="false">IF($E220="",VLOOKUP($D220,Категории!$A$5:$C$17,3,FALSE()),"п. 21 — по пом. "&amp;$E220)</f>
        <v>п. 28</v>
      </c>
      <c r="H220" s="5" t="n">
        <f aca="false">MAX($F220+15,65)</f>
        <v>70</v>
      </c>
      <c r="I220" s="7" t="s">
        <v>111</v>
      </c>
      <c r="J220" s="7" t="s">
        <v>21</v>
      </c>
      <c r="K220" s="11" t="s">
        <v>22</v>
      </c>
      <c r="L220" s="7" t="str">
        <f aca="false">IF($K220="Звуковой","не требуется (звуковой способ)",IF($F220&lt;=65,"упрощённая оценка (п. 6.11.3)","нужен расчёт (прил. В / ПО изготовителя)"))</f>
        <v>упрощённая оценка (п. 6.11.3)</v>
      </c>
      <c r="M220" s="7"/>
      <c r="N220" s="12" t="n">
        <f aca="false">VLOOKUP($D220,Категории!$A$5:$C$17,2,FALSE())</f>
        <v>55</v>
      </c>
    </row>
    <row r="221" customFormat="false" ht="15" hidden="false" customHeight="false" outlineLevel="0" collapsed="false">
      <c r="A221" s="5" t="n">
        <v>4</v>
      </c>
      <c r="B221" s="6" t="s">
        <v>316</v>
      </c>
      <c r="C221" s="7" t="s">
        <v>35</v>
      </c>
      <c r="D221" s="8" t="s">
        <v>36</v>
      </c>
      <c r="E221" s="9"/>
      <c r="F221" s="10" t="n">
        <f aca="false">IF($E221="",$N221,MAX($N221,INDEX($N$6:$N$225,MATCH($E221,$B$6:$B$225,0))))</f>
        <v>60</v>
      </c>
      <c r="G221" s="7" t="str">
        <f aca="false">IF($E221="",VLOOKUP($D221,Категории!$A$5:$C$17,3,FALSE()),"п. 21 — по пом. "&amp;$E221)</f>
        <v>п. 21</v>
      </c>
      <c r="H221" s="5" t="n">
        <f aca="false">MAX($F221+15,65)</f>
        <v>75</v>
      </c>
      <c r="I221" s="7" t="s">
        <v>20</v>
      </c>
      <c r="J221" s="7" t="s">
        <v>21</v>
      </c>
      <c r="K221" s="11" t="s">
        <v>22</v>
      </c>
      <c r="L221" s="7" t="str">
        <f aca="false">IF($K221="Звуковой","не требуется (звуковой способ)",IF($F221&lt;=65,"упрощённая оценка (п. 6.11.3)","нужен расчёт (прил. В / ПО изготовителя)"))</f>
        <v>упрощённая оценка (п. 6.11.3)</v>
      </c>
      <c r="M221" s="7"/>
      <c r="N221" s="12" t="n">
        <f aca="false">VLOOKUP($D221,Категории!$A$5:$C$17,2,FALSE())</f>
        <v>60</v>
      </c>
    </row>
    <row r="222" customFormat="false" ht="15" hidden="false" customHeight="false" outlineLevel="0" collapsed="false">
      <c r="A222" s="5" t="n">
        <v>4</v>
      </c>
      <c r="B222" s="6" t="s">
        <v>317</v>
      </c>
      <c r="C222" s="7" t="s">
        <v>35</v>
      </c>
      <c r="D222" s="8" t="s">
        <v>36</v>
      </c>
      <c r="E222" s="9"/>
      <c r="F222" s="10" t="n">
        <f aca="false">IF($E222="",$N222,MAX($N222,INDEX($N$6:$N$225,MATCH($E222,$B$6:$B$225,0))))</f>
        <v>60</v>
      </c>
      <c r="G222" s="7" t="str">
        <f aca="false">IF($E222="",VLOOKUP($D222,Категории!$A$5:$C$17,3,FALSE()),"п. 21 — по пом. "&amp;$E222)</f>
        <v>п. 21</v>
      </c>
      <c r="H222" s="5" t="n">
        <f aca="false">MAX($F222+15,65)</f>
        <v>75</v>
      </c>
      <c r="I222" s="7" t="s">
        <v>20</v>
      </c>
      <c r="J222" s="7" t="s">
        <v>21</v>
      </c>
      <c r="K222" s="11" t="s">
        <v>22</v>
      </c>
      <c r="L222" s="7" t="str">
        <f aca="false">IF($K222="Звуковой","не требуется (звуковой способ)",IF($F222&lt;=65,"упрощённая оценка (п. 6.11.3)","нужен расчёт (прил. В / ПО изготовителя)"))</f>
        <v>упрощённая оценка (п. 6.11.3)</v>
      </c>
      <c r="M222" s="7"/>
      <c r="N222" s="12" t="n">
        <f aca="false">VLOOKUP($D222,Категории!$A$5:$C$17,2,FALSE())</f>
        <v>60</v>
      </c>
    </row>
    <row r="223" customFormat="false" ht="15" hidden="false" customHeight="false" outlineLevel="0" collapsed="false">
      <c r="A223" s="5" t="n">
        <v>4</v>
      </c>
      <c r="B223" s="6" t="s">
        <v>318</v>
      </c>
      <c r="C223" s="7" t="s">
        <v>35</v>
      </c>
      <c r="D223" s="8" t="s">
        <v>36</v>
      </c>
      <c r="E223" s="9"/>
      <c r="F223" s="10" t="n">
        <f aca="false">IF($E223="",$N223,MAX($N223,INDEX($N$6:$N$225,MATCH($E223,$B$6:$B$225,0))))</f>
        <v>60</v>
      </c>
      <c r="G223" s="7" t="str">
        <f aca="false">IF($E223="",VLOOKUP($D223,Категории!$A$5:$C$17,3,FALSE()),"п. 21 — по пом. "&amp;$E223)</f>
        <v>п. 21</v>
      </c>
      <c r="H223" s="5" t="n">
        <f aca="false">MAX($F223+15,65)</f>
        <v>75</v>
      </c>
      <c r="I223" s="7" t="s">
        <v>20</v>
      </c>
      <c r="J223" s="7" t="s">
        <v>21</v>
      </c>
      <c r="K223" s="11" t="s">
        <v>22</v>
      </c>
      <c r="L223" s="7" t="str">
        <f aca="false">IF($K223="Звуковой","не требуется (звуковой способ)",IF($F223&lt;=65,"упрощённая оценка (п. 6.11.3)","нужен расчёт (прил. В / ПО изготовителя)"))</f>
        <v>упрощённая оценка (п. 6.11.3)</v>
      </c>
      <c r="M223" s="7"/>
      <c r="N223" s="12" t="n">
        <f aca="false">VLOOKUP($D223,Категории!$A$5:$C$17,2,FALSE())</f>
        <v>60</v>
      </c>
    </row>
    <row r="224" customFormat="false" ht="15" hidden="false" customHeight="false" outlineLevel="0" collapsed="false">
      <c r="A224" s="5" t="n">
        <v>4</v>
      </c>
      <c r="B224" s="6" t="s">
        <v>319</v>
      </c>
      <c r="C224" s="7" t="s">
        <v>57</v>
      </c>
      <c r="D224" s="8" t="s">
        <v>58</v>
      </c>
      <c r="E224" s="9"/>
      <c r="F224" s="10" t="n">
        <f aca="false">IF($E224="",$N224,MAX($N224,INDEX($N$6:$N$225,MATCH($E224,$B$6:$B$225,0))))</f>
        <v>60</v>
      </c>
      <c r="G224" s="7" t="str">
        <f aca="false">IF($E224="",VLOOKUP($D224,Категории!$A$5:$C$17,3,FALSE()),"п. 21 — по пом. "&amp;$E224)</f>
        <v>п. 6</v>
      </c>
      <c r="H224" s="5" t="n">
        <f aca="false">MAX($F224+15,65)</f>
        <v>75</v>
      </c>
      <c r="I224" s="7" t="s">
        <v>20</v>
      </c>
      <c r="J224" s="7" t="s">
        <v>21</v>
      </c>
      <c r="K224" s="11" t="s">
        <v>22</v>
      </c>
      <c r="L224" s="7" t="str">
        <f aca="false">IF($K224="Звуковой","не требуется (звуковой способ)",IF($F224&lt;=65,"упрощённая оценка (п. 6.11.3)","нужен расчёт (прил. В / ПО изготовителя)"))</f>
        <v>упрощённая оценка (п. 6.11.3)</v>
      </c>
      <c r="M224" s="7"/>
      <c r="N224" s="12" t="n">
        <f aca="false">VLOOKUP($D224,Категории!$A$5:$C$17,2,FALSE())</f>
        <v>60</v>
      </c>
    </row>
    <row r="225" customFormat="false" ht="15" hidden="false" customHeight="false" outlineLevel="0" collapsed="false">
      <c r="A225" s="5" t="n">
        <v>4</v>
      </c>
      <c r="B225" s="6" t="s">
        <v>320</v>
      </c>
      <c r="C225" s="7" t="s">
        <v>35</v>
      </c>
      <c r="D225" s="8" t="s">
        <v>36</v>
      </c>
      <c r="E225" s="9"/>
      <c r="F225" s="10" t="n">
        <f aca="false">IF($E225="",$N225,MAX($N225,INDEX($N$6:$N$225,MATCH($E225,$B$6:$B$225,0))))</f>
        <v>60</v>
      </c>
      <c r="G225" s="7" t="str">
        <f aca="false">IF($E225="",VLOOKUP($D225,Категории!$A$5:$C$17,3,FALSE()),"п. 21 — по пом. "&amp;$E225)</f>
        <v>п. 21</v>
      </c>
      <c r="H225" s="5" t="n">
        <f aca="false">MAX($F225+15,65)</f>
        <v>75</v>
      </c>
      <c r="I225" s="7" t="s">
        <v>20</v>
      </c>
      <c r="J225" s="7" t="s">
        <v>21</v>
      </c>
      <c r="K225" s="11" t="s">
        <v>22</v>
      </c>
      <c r="L225" s="7" t="str">
        <f aca="false">IF($K225="Звуковой","не требуется (звуковой способ)",IF($F225&lt;=65,"упрощённая оценка (п. 6.11.3)","нужен расчёт (прил. В / ПО изготовителя)"))</f>
        <v>упрощённая оценка (п. 6.11.3)</v>
      </c>
      <c r="M225" s="7"/>
      <c r="N225" s="12" t="n">
        <f aca="false">VLOOKUP($D225,Категории!$A$5:$C$17,2,FALSE())</f>
        <v>60</v>
      </c>
    </row>
    <row r="227" customFormat="false" ht="15" hidden="false" customHeight="false" outlineLevel="0" collapsed="false">
      <c r="C227" s="15" t="s">
        <v>321</v>
      </c>
      <c r="F227" s="16" t="n">
        <f aca="false">COUNTA($B$6:$B$225)</f>
        <v>220</v>
      </c>
    </row>
    <row r="228" customFormat="false" ht="15" hidden="false" customHeight="false" outlineLevel="0" collapsed="false">
      <c r="C228" s="15" t="s">
        <v>322</v>
      </c>
      <c r="F228" s="16" t="n">
        <f aca="false">COUNTIF($K$6:$K$225,"Речевой")</f>
        <v>218</v>
      </c>
    </row>
    <row r="229" customFormat="false" ht="15" hidden="false" customHeight="false" outlineLevel="0" collapsed="false">
      <c r="C229" s="15" t="s">
        <v>323</v>
      </c>
      <c r="F229" s="16" t="n">
        <f aca="false">COUNTIF($K$6:$K$225,"Звуковой")</f>
        <v>2</v>
      </c>
    </row>
    <row r="230" customFormat="false" ht="15" hidden="false" customHeight="false" outlineLevel="0" collapsed="false">
      <c r="C230" s="15" t="s">
        <v>324</v>
      </c>
      <c r="F230" s="16" t="n">
        <f aca="false">COUNTIFS($F$6:$F$225,"&gt;65",$K$6:$K$225,"Речевой")</f>
        <v>20</v>
      </c>
    </row>
  </sheetData>
  <autoFilter ref="A5:N225"/>
  <dataValidations count="1">
    <dataValidation allowBlank="false" errorStyle="stop" operator="between" showDropDown="false" showErrorMessage="false" showInputMessage="false" sqref="K6:K225" type="list">
      <formula1>"Речевой,Звуковой"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"/>
    <col collapsed="false" customWidth="true" hidden="false" outlineLevel="0" max="3" min="3" style="0" width="18"/>
    <col collapsed="false" customWidth="true" hidden="false" outlineLevel="0" max="4" min="4" style="0" width="46"/>
    <col collapsed="false" customWidth="true" hidden="false" outlineLevel="0" max="5" min="5" style="0" width="40"/>
    <col collapsed="false" customWidth="true" hidden="false" outlineLevel="0" max="6" min="6" style="0" width="10"/>
  </cols>
  <sheetData>
    <row r="1" customFormat="false" ht="15" hidden="false" customHeight="false" outlineLevel="0" collapsed="false">
      <c r="A1" s="1" t="s">
        <v>325</v>
      </c>
    </row>
    <row r="2" customFormat="false" ht="42" hidden="false" customHeight="true" outlineLevel="0" collapsed="false">
      <c r="A2" s="17" t="s">
        <v>326</v>
      </c>
      <c r="B2" s="17"/>
      <c r="C2" s="17"/>
      <c r="D2" s="17"/>
      <c r="E2" s="17"/>
      <c r="F2" s="17"/>
    </row>
    <row r="4" customFormat="false" ht="15" hidden="false" customHeight="false" outlineLevel="0" collapsed="false">
      <c r="A4" s="4" t="s">
        <v>3</v>
      </c>
      <c r="B4" s="4" t="s">
        <v>4</v>
      </c>
      <c r="C4" s="4" t="s">
        <v>327</v>
      </c>
      <c r="D4" s="4" t="s">
        <v>328</v>
      </c>
      <c r="E4" s="4" t="s">
        <v>329</v>
      </c>
      <c r="F4" s="4" t="s">
        <v>330</v>
      </c>
    </row>
    <row r="5" customFormat="false" ht="23.85" hidden="false" customHeight="false" outlineLevel="0" collapsed="false">
      <c r="A5" s="5" t="n">
        <v>1</v>
      </c>
      <c r="B5" s="6" t="s">
        <v>99</v>
      </c>
      <c r="C5" s="7" t="s">
        <v>100</v>
      </c>
      <c r="D5" s="14" t="s">
        <v>101</v>
      </c>
      <c r="E5" s="7" t="s">
        <v>331</v>
      </c>
      <c r="F5" s="5" t="n">
        <f aca="false">INDEX('Общая таблица'!$F$6:$F$225,MATCH("45",'Общая таблица'!$B$6:$B$225,0))</f>
        <v>60</v>
      </c>
    </row>
    <row r="6" customFormat="false" ht="23.85" hidden="false" customHeight="false" outlineLevel="0" collapsed="false">
      <c r="A6" s="5" t="n">
        <v>1</v>
      </c>
      <c r="B6" s="6" t="s">
        <v>122</v>
      </c>
      <c r="C6" s="7" t="s">
        <v>100</v>
      </c>
      <c r="D6" s="14" t="s">
        <v>101</v>
      </c>
      <c r="E6" s="7" t="s">
        <v>331</v>
      </c>
      <c r="F6" s="5" t="n">
        <f aca="false">INDEX('Общая таблица'!$F$6:$F$225,MATCH("58",'Общая таблица'!$B$6:$B$225,0))</f>
        <v>60</v>
      </c>
    </row>
    <row r="7" customFormat="false" ht="15" hidden="false" customHeight="false" outlineLevel="0" collapsed="false">
      <c r="A7" s="5" t="n">
        <v>1</v>
      </c>
      <c r="B7" s="6" t="s">
        <v>125</v>
      </c>
      <c r="C7" s="7" t="s">
        <v>133</v>
      </c>
      <c r="D7" s="14" t="s">
        <v>135</v>
      </c>
      <c r="E7" s="7" t="s">
        <v>332</v>
      </c>
      <c r="F7" s="5" t="n">
        <f aca="false">INDEX('Общая таблица'!$F$6:$F$225,MATCH("63",'Общая таблица'!$B$6:$B$225,0))</f>
        <v>70</v>
      </c>
    </row>
    <row r="8" customFormat="false" ht="23.85" hidden="false" customHeight="false" outlineLevel="0" collapsed="false">
      <c r="A8" s="5" t="n">
        <v>2</v>
      </c>
      <c r="B8" s="6" t="s">
        <v>184</v>
      </c>
      <c r="C8" s="7" t="s">
        <v>100</v>
      </c>
      <c r="D8" s="14" t="s">
        <v>101</v>
      </c>
      <c r="E8" s="7" t="s">
        <v>331</v>
      </c>
      <c r="F8" s="5" t="n">
        <f aca="false">INDEX('Общая таблица'!$F$6:$F$225,MATCH("97",'Общая таблица'!$B$6:$B$225,0))</f>
        <v>60</v>
      </c>
    </row>
    <row r="9" customFormat="false" ht="15" hidden="false" customHeight="false" outlineLevel="0" collapsed="false">
      <c r="A9" s="5" t="n">
        <v>2</v>
      </c>
      <c r="B9" s="6" t="s">
        <v>227</v>
      </c>
      <c r="C9" s="7" t="s">
        <v>230</v>
      </c>
      <c r="D9" s="14" t="s">
        <v>231</v>
      </c>
      <c r="E9" s="7" t="s">
        <v>333</v>
      </c>
      <c r="F9" s="5" t="n">
        <f aca="false">INDEX('Общая таблица'!$F$6:$F$225,MATCH("132",'Общая таблица'!$B$6:$B$225,0))</f>
        <v>80</v>
      </c>
    </row>
    <row r="10" customFormat="false" ht="23.85" hidden="false" customHeight="false" outlineLevel="0" collapsed="false">
      <c r="A10" s="5" t="n">
        <v>3</v>
      </c>
      <c r="B10" s="6" t="s">
        <v>254</v>
      </c>
      <c r="C10" s="7" t="s">
        <v>100</v>
      </c>
      <c r="D10" s="14" t="s">
        <v>101</v>
      </c>
      <c r="E10" s="7" t="s">
        <v>331</v>
      </c>
      <c r="F10" s="5" t="n">
        <f aca="false">INDEX('Общая таблица'!$F$6:$F$225,MATCH("152",'Общая таблица'!$B$6:$B$225,0))</f>
        <v>60</v>
      </c>
    </row>
    <row r="11" customFormat="false" ht="23.85" hidden="false" customHeight="false" outlineLevel="0" collapsed="false">
      <c r="A11" s="5" t="n">
        <v>4</v>
      </c>
      <c r="B11" s="6" t="s">
        <v>293</v>
      </c>
      <c r="C11" s="7" t="s">
        <v>100</v>
      </c>
      <c r="D11" s="14" t="s">
        <v>101</v>
      </c>
      <c r="E11" s="7" t="s">
        <v>331</v>
      </c>
      <c r="F11" s="5" t="n">
        <f aca="false">INDEX('Общая таблица'!$F$6:$F$225,MATCH("190",'Общая таблица'!$B$6:$B$225,0))</f>
        <v>60</v>
      </c>
    </row>
    <row r="12" customFormat="false" ht="23.85" hidden="false" customHeight="false" outlineLevel="0" collapsed="false">
      <c r="A12" s="5" t="n">
        <v>1</v>
      </c>
      <c r="B12" s="6" t="s">
        <v>28</v>
      </c>
      <c r="C12" s="7" t="s">
        <v>29</v>
      </c>
      <c r="D12" s="13" t="s">
        <v>31</v>
      </c>
      <c r="E12" s="7" t="s">
        <v>334</v>
      </c>
      <c r="F12" s="5" t="n">
        <f aca="false">INDEX('Общая таблица'!$F$6:$F$225,MATCH("3",'Общая таблица'!$B$6:$B$225,0))</f>
        <v>80</v>
      </c>
    </row>
    <row r="13" customFormat="false" ht="23.85" hidden="false" customHeight="false" outlineLevel="0" collapsed="false">
      <c r="A13" s="5" t="n">
        <v>1</v>
      </c>
      <c r="B13" s="6" t="s">
        <v>38</v>
      </c>
      <c r="C13" s="7" t="s">
        <v>29</v>
      </c>
      <c r="D13" s="13" t="s">
        <v>31</v>
      </c>
      <c r="E13" s="7" t="s">
        <v>334</v>
      </c>
      <c r="F13" s="5" t="n">
        <f aca="false">INDEX('Общая таблица'!$F$6:$F$225,MATCH("5",'Общая таблица'!$B$6:$B$225,0))</f>
        <v>80</v>
      </c>
    </row>
    <row r="14" customFormat="false" ht="23.85" hidden="false" customHeight="false" outlineLevel="0" collapsed="false">
      <c r="A14" s="5" t="n">
        <v>1</v>
      </c>
      <c r="B14" s="6" t="s">
        <v>39</v>
      </c>
      <c r="C14" s="7" t="s">
        <v>29</v>
      </c>
      <c r="D14" s="13" t="s">
        <v>31</v>
      </c>
      <c r="E14" s="7" t="s">
        <v>334</v>
      </c>
      <c r="F14" s="5" t="n">
        <f aca="false">INDEX('Общая таблица'!$F$6:$F$225,MATCH("6",'Общая таблица'!$B$6:$B$225,0))</f>
        <v>80</v>
      </c>
    </row>
    <row r="15" customFormat="false" ht="23.85" hidden="false" customHeight="false" outlineLevel="0" collapsed="false">
      <c r="A15" s="5" t="n">
        <v>1</v>
      </c>
      <c r="B15" s="6" t="s">
        <v>44</v>
      </c>
      <c r="C15" s="7" t="s">
        <v>45</v>
      </c>
      <c r="D15" s="13" t="s">
        <v>47</v>
      </c>
      <c r="E15" s="7" t="s">
        <v>335</v>
      </c>
      <c r="F15" s="5" t="n">
        <f aca="false">INDEX('Общая таблица'!$F$6:$F$225,MATCH("9",'Общая таблица'!$B$6:$B$225,0))</f>
        <v>60</v>
      </c>
    </row>
    <row r="16" customFormat="false" ht="23.85" hidden="false" customHeight="false" outlineLevel="0" collapsed="false">
      <c r="A16" s="5" t="n">
        <v>1</v>
      </c>
      <c r="B16" s="6" t="s">
        <v>48</v>
      </c>
      <c r="C16" s="7" t="s">
        <v>45</v>
      </c>
      <c r="D16" s="13" t="s">
        <v>47</v>
      </c>
      <c r="E16" s="7" t="s">
        <v>335</v>
      </c>
      <c r="F16" s="5" t="n">
        <f aca="false">INDEX('Общая таблица'!$F$6:$F$225,MATCH("10",'Общая таблица'!$B$6:$B$225,0))</f>
        <v>60</v>
      </c>
    </row>
    <row r="17" customFormat="false" ht="23.85" hidden="false" customHeight="false" outlineLevel="0" collapsed="false">
      <c r="A17" s="5" t="n">
        <v>1</v>
      </c>
      <c r="B17" s="6" t="s">
        <v>49</v>
      </c>
      <c r="C17" s="7" t="s">
        <v>45</v>
      </c>
      <c r="D17" s="13" t="s">
        <v>47</v>
      </c>
      <c r="E17" s="7" t="s">
        <v>335</v>
      </c>
      <c r="F17" s="5" t="n">
        <f aca="false">INDEX('Общая таблица'!$F$6:$F$225,MATCH("11",'Общая таблица'!$B$6:$B$225,0))</f>
        <v>60</v>
      </c>
    </row>
    <row r="18" customFormat="false" ht="23.85" hidden="false" customHeight="false" outlineLevel="0" collapsed="false">
      <c r="A18" s="5" t="n">
        <v>1</v>
      </c>
      <c r="B18" s="6" t="s">
        <v>50</v>
      </c>
      <c r="C18" s="7" t="s">
        <v>45</v>
      </c>
      <c r="D18" s="13" t="s">
        <v>47</v>
      </c>
      <c r="E18" s="7" t="s">
        <v>335</v>
      </c>
      <c r="F18" s="5" t="n">
        <f aca="false">INDEX('Общая таблица'!$F$6:$F$225,MATCH("12",'Общая таблица'!$B$6:$B$225,0))</f>
        <v>60</v>
      </c>
    </row>
    <row r="19" customFormat="false" ht="23.85" hidden="false" customHeight="false" outlineLevel="0" collapsed="false">
      <c r="A19" s="5" t="n">
        <v>1</v>
      </c>
      <c r="B19" s="6" t="s">
        <v>51</v>
      </c>
      <c r="C19" s="7" t="s">
        <v>45</v>
      </c>
      <c r="D19" s="13" t="s">
        <v>47</v>
      </c>
      <c r="E19" s="7" t="s">
        <v>335</v>
      </c>
      <c r="F19" s="5" t="n">
        <f aca="false">INDEX('Общая таблица'!$F$6:$F$225,MATCH("13",'Общая таблица'!$B$6:$B$225,0))</f>
        <v>60</v>
      </c>
    </row>
    <row r="20" customFormat="false" ht="23.85" hidden="false" customHeight="false" outlineLevel="0" collapsed="false">
      <c r="A20" s="5" t="n">
        <v>1</v>
      </c>
      <c r="B20" s="6" t="s">
        <v>52</v>
      </c>
      <c r="C20" s="7" t="s">
        <v>45</v>
      </c>
      <c r="D20" s="13" t="s">
        <v>47</v>
      </c>
      <c r="E20" s="7" t="s">
        <v>335</v>
      </c>
      <c r="F20" s="5" t="n">
        <f aca="false">INDEX('Общая таблица'!$F$6:$F$225,MATCH("14",'Общая таблица'!$B$6:$B$225,0))</f>
        <v>60</v>
      </c>
    </row>
    <row r="21" customFormat="false" ht="23.85" hidden="false" customHeight="false" outlineLevel="0" collapsed="false">
      <c r="A21" s="5" t="n">
        <v>1</v>
      </c>
      <c r="B21" s="6" t="s">
        <v>53</v>
      </c>
      <c r="C21" s="7" t="s">
        <v>45</v>
      </c>
      <c r="D21" s="13" t="s">
        <v>47</v>
      </c>
      <c r="E21" s="7" t="s">
        <v>335</v>
      </c>
      <c r="F21" s="5" t="n">
        <f aca="false">INDEX('Общая таблица'!$F$6:$F$225,MATCH("15",'Общая таблица'!$B$6:$B$225,0))</f>
        <v>60</v>
      </c>
    </row>
    <row r="22" customFormat="false" ht="23.85" hidden="false" customHeight="false" outlineLevel="0" collapsed="false">
      <c r="A22" s="5" t="n">
        <v>1</v>
      </c>
      <c r="B22" s="6" t="s">
        <v>54</v>
      </c>
      <c r="C22" s="7" t="s">
        <v>45</v>
      </c>
      <c r="D22" s="13" t="s">
        <v>47</v>
      </c>
      <c r="E22" s="7" t="s">
        <v>335</v>
      </c>
      <c r="F22" s="5" t="n">
        <f aca="false">INDEX('Общая таблица'!$F$6:$F$225,MATCH("16",'Общая таблица'!$B$6:$B$225,0))</f>
        <v>60</v>
      </c>
    </row>
    <row r="23" customFormat="false" ht="23.85" hidden="false" customHeight="false" outlineLevel="0" collapsed="false">
      <c r="A23" s="5" t="n">
        <v>1</v>
      </c>
      <c r="B23" s="6" t="s">
        <v>130</v>
      </c>
      <c r="C23" s="7" t="s">
        <v>131</v>
      </c>
      <c r="D23" s="13" t="s">
        <v>132</v>
      </c>
      <c r="E23" s="7" t="s">
        <v>335</v>
      </c>
      <c r="F23" s="5" t="n">
        <f aca="false">INDEX('Общая таблица'!$F$6:$F$225,MATCH("62",'Общая таблица'!$B$6:$B$225,0))</f>
        <v>60</v>
      </c>
    </row>
    <row r="24" customFormat="false" ht="23.85" hidden="false" customHeight="false" outlineLevel="0" collapsed="false">
      <c r="A24" s="5" t="n">
        <v>1</v>
      </c>
      <c r="B24" s="6" t="s">
        <v>147</v>
      </c>
      <c r="C24" s="7" t="s">
        <v>45</v>
      </c>
      <c r="D24" s="13" t="s">
        <v>47</v>
      </c>
      <c r="E24" s="7" t="s">
        <v>335</v>
      </c>
      <c r="F24" s="5" t="n">
        <f aca="false">INDEX('Общая таблица'!$F$6:$F$225,MATCH("70",'Общая таблица'!$B$6:$B$225,0))</f>
        <v>60</v>
      </c>
    </row>
    <row r="25" customFormat="false" ht="23.85" hidden="false" customHeight="false" outlineLevel="0" collapsed="false">
      <c r="A25" s="5" t="n">
        <v>1</v>
      </c>
      <c r="B25" s="6" t="s">
        <v>151</v>
      </c>
      <c r="C25" s="7" t="s">
        <v>152</v>
      </c>
      <c r="D25" s="13" t="s">
        <v>31</v>
      </c>
      <c r="E25" s="7" t="s">
        <v>334</v>
      </c>
      <c r="F25" s="5" t="n">
        <f aca="false">INDEX('Общая таблица'!$F$6:$F$225,MATCH("74",'Общая таблица'!$B$6:$B$225,0))</f>
        <v>80</v>
      </c>
    </row>
    <row r="26" customFormat="false" ht="23.85" hidden="false" customHeight="false" outlineLevel="0" collapsed="false">
      <c r="A26" s="5" t="n">
        <v>1</v>
      </c>
      <c r="B26" s="6" t="s">
        <v>155</v>
      </c>
      <c r="C26" s="7" t="s">
        <v>156</v>
      </c>
      <c r="D26" s="13" t="s">
        <v>132</v>
      </c>
      <c r="E26" s="7" t="s">
        <v>335</v>
      </c>
      <c r="F26" s="5" t="n">
        <f aca="false">INDEX('Общая таблица'!$F$6:$F$225,MATCH("76",'Общая таблица'!$B$6:$B$225,0))</f>
        <v>60</v>
      </c>
    </row>
    <row r="27" customFormat="false" ht="23.85" hidden="false" customHeight="false" outlineLevel="0" collapsed="false">
      <c r="A27" s="5" t="n">
        <v>1</v>
      </c>
      <c r="B27" s="6" t="s">
        <v>162</v>
      </c>
      <c r="C27" s="7" t="s">
        <v>45</v>
      </c>
      <c r="D27" s="13" t="s">
        <v>47</v>
      </c>
      <c r="E27" s="7" t="s">
        <v>335</v>
      </c>
      <c r="F27" s="5" t="n">
        <f aca="false">INDEX('Общая таблица'!$F$6:$F$225,MATCH("80",'Общая таблица'!$B$6:$B$225,0))</f>
        <v>60</v>
      </c>
    </row>
    <row r="28" customFormat="false" ht="23.85" hidden="false" customHeight="false" outlineLevel="0" collapsed="false">
      <c r="A28" s="5" t="n">
        <v>2</v>
      </c>
      <c r="B28" s="6" t="s">
        <v>216</v>
      </c>
      <c r="C28" s="7" t="s">
        <v>217</v>
      </c>
      <c r="D28" s="13" t="s">
        <v>132</v>
      </c>
      <c r="E28" s="7" t="s">
        <v>335</v>
      </c>
      <c r="F28" s="5" t="n">
        <f aca="false">INDEX('Общая таблица'!$F$6:$F$225,MATCH("124",'Общая таблица'!$B$6:$B$225,0))</f>
        <v>60</v>
      </c>
    </row>
    <row r="29" customFormat="false" ht="23.85" hidden="false" customHeight="false" outlineLevel="0" collapsed="false">
      <c r="A29" s="5" t="n">
        <v>2</v>
      </c>
      <c r="B29" s="6" t="s">
        <v>218</v>
      </c>
      <c r="C29" s="7" t="s">
        <v>217</v>
      </c>
      <c r="D29" s="13" t="s">
        <v>132</v>
      </c>
      <c r="E29" s="7" t="s">
        <v>335</v>
      </c>
      <c r="F29" s="5" t="n">
        <f aca="false">INDEX('Общая таблица'!$F$6:$F$225,MATCH("125",'Общая таблица'!$B$6:$B$225,0))</f>
        <v>60</v>
      </c>
    </row>
    <row r="30" customFormat="false" ht="23.85" hidden="false" customHeight="false" outlineLevel="0" collapsed="false">
      <c r="A30" s="5" t="n">
        <v>2</v>
      </c>
      <c r="B30" s="6" t="s">
        <v>229</v>
      </c>
      <c r="C30" s="7" t="s">
        <v>45</v>
      </c>
      <c r="D30" s="13" t="s">
        <v>47</v>
      </c>
      <c r="E30" s="7" t="s">
        <v>335</v>
      </c>
      <c r="F30" s="5" t="n">
        <f aca="false">INDEX('Общая таблица'!$F$6:$F$225,MATCH("131",'Общая таблица'!$B$6:$B$225,0))</f>
        <v>60</v>
      </c>
    </row>
    <row r="31" customFormat="false" ht="23.85" hidden="false" customHeight="false" outlineLevel="0" collapsed="false">
      <c r="A31" s="5" t="n">
        <v>2</v>
      </c>
      <c r="B31" s="6" t="s">
        <v>233</v>
      </c>
      <c r="C31" s="7" t="s">
        <v>45</v>
      </c>
      <c r="D31" s="13" t="s">
        <v>47</v>
      </c>
      <c r="E31" s="7" t="s">
        <v>335</v>
      </c>
      <c r="F31" s="5" t="n">
        <f aca="false">INDEX('Общая таблица'!$F$6:$F$225,MATCH("133",'Общая таблица'!$B$6:$B$225,0))</f>
        <v>60</v>
      </c>
    </row>
    <row r="32" customFormat="false" ht="23.85" hidden="false" customHeight="false" outlineLevel="0" collapsed="false">
      <c r="A32" s="5" t="n">
        <v>2</v>
      </c>
      <c r="B32" s="6" t="s">
        <v>235</v>
      </c>
      <c r="C32" s="7" t="s">
        <v>45</v>
      </c>
      <c r="D32" s="13" t="s">
        <v>47</v>
      </c>
      <c r="E32" s="7" t="s">
        <v>335</v>
      </c>
      <c r="F32" s="5" t="n">
        <f aca="false">INDEX('Общая таблица'!$F$6:$F$225,MATCH("135",'Общая таблица'!$B$6:$B$225,0))</f>
        <v>60</v>
      </c>
    </row>
    <row r="33" customFormat="false" ht="23.85" hidden="false" customHeight="false" outlineLevel="0" collapsed="false">
      <c r="A33" s="5" t="n">
        <v>2</v>
      </c>
      <c r="B33" s="6" t="s">
        <v>236</v>
      </c>
      <c r="C33" s="7" t="s">
        <v>45</v>
      </c>
      <c r="D33" s="13" t="s">
        <v>47</v>
      </c>
      <c r="E33" s="7" t="s">
        <v>335</v>
      </c>
      <c r="F33" s="5" t="n">
        <f aca="false">INDEX('Общая таблица'!$F$6:$F$225,MATCH("136",'Общая таблица'!$B$6:$B$225,0))</f>
        <v>60</v>
      </c>
    </row>
    <row r="35" customFormat="false" ht="30" hidden="false" customHeight="true" outlineLevel="0" collapsed="false">
      <c r="A35" s="17" t="s">
        <v>336</v>
      </c>
      <c r="B35" s="17"/>
      <c r="C35" s="17"/>
      <c r="D35" s="17"/>
      <c r="E35" s="17"/>
      <c r="F35" s="17"/>
    </row>
    <row r="36" customFormat="false" ht="30" hidden="false" customHeight="true" outlineLevel="0" collapsed="false">
      <c r="A36" s="17" t="s">
        <v>337</v>
      </c>
      <c r="B36" s="17"/>
      <c r="C36" s="17"/>
      <c r="D36" s="17"/>
      <c r="E36" s="17"/>
      <c r="F36" s="17"/>
    </row>
  </sheetData>
  <mergeCells count="3">
    <mergeCell ref="A2:F2"/>
    <mergeCell ref="A35:F35"/>
    <mergeCell ref="A36:F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1"/>
    <col collapsed="false" customWidth="true" hidden="false" outlineLevel="0" max="3" min="3" style="0" width="26"/>
    <col collapsed="false" customWidth="true" hidden="false" outlineLevel="0" max="4" min="4" style="0" width="80"/>
  </cols>
  <sheetData>
    <row r="1" customFormat="false" ht="15" hidden="false" customHeight="false" outlineLevel="0" collapsed="false">
      <c r="A1" s="1" t="s">
        <v>338</v>
      </c>
    </row>
    <row r="2" customFormat="false" ht="15" hidden="false" customHeight="false" outlineLevel="0" collapsed="false">
      <c r="A2" s="3" t="s">
        <v>339</v>
      </c>
    </row>
    <row r="4" customFormat="false" ht="15" hidden="false" customHeight="false" outlineLevel="0" collapsed="false">
      <c r="A4" s="4" t="s">
        <v>340</v>
      </c>
      <c r="B4" s="4" t="s">
        <v>330</v>
      </c>
      <c r="C4" s="4" t="s">
        <v>341</v>
      </c>
      <c r="D4" s="4" t="s">
        <v>342</v>
      </c>
    </row>
    <row r="5" customFormat="false" ht="15" hidden="false" customHeight="false" outlineLevel="0" collapsed="false">
      <c r="A5" s="7" t="s">
        <v>58</v>
      </c>
      <c r="B5" s="11" t="n">
        <v>60</v>
      </c>
      <c r="C5" s="7" t="s">
        <v>343</v>
      </c>
      <c r="D5" s="7" t="s">
        <v>344</v>
      </c>
    </row>
    <row r="6" customFormat="false" ht="23.85" hidden="false" customHeight="false" outlineLevel="0" collapsed="false">
      <c r="A6" s="7" t="s">
        <v>46</v>
      </c>
      <c r="B6" s="11" t="n">
        <v>60</v>
      </c>
      <c r="C6" s="7" t="s">
        <v>345</v>
      </c>
      <c r="D6" s="7" t="s">
        <v>346</v>
      </c>
    </row>
    <row r="7" customFormat="false" ht="15" hidden="false" customHeight="false" outlineLevel="0" collapsed="false">
      <c r="A7" s="7" t="s">
        <v>200</v>
      </c>
      <c r="B7" s="11" t="n">
        <v>50</v>
      </c>
      <c r="C7" s="7" t="s">
        <v>347</v>
      </c>
      <c r="D7" s="7" t="s">
        <v>348</v>
      </c>
    </row>
    <row r="8" customFormat="false" ht="15" hidden="false" customHeight="false" outlineLevel="0" collapsed="false">
      <c r="A8" s="7" t="s">
        <v>110</v>
      </c>
      <c r="B8" s="11" t="n">
        <v>55</v>
      </c>
      <c r="C8" s="7" t="s">
        <v>349</v>
      </c>
      <c r="D8" s="7" t="s">
        <v>350</v>
      </c>
    </row>
    <row r="9" customFormat="false" ht="23.85" hidden="false" customHeight="false" outlineLevel="0" collapsed="false">
      <c r="A9" s="7" t="s">
        <v>19</v>
      </c>
      <c r="B9" s="11" t="n">
        <v>65</v>
      </c>
      <c r="C9" s="7" t="s">
        <v>351</v>
      </c>
      <c r="D9" s="7" t="s">
        <v>352</v>
      </c>
    </row>
    <row r="10" customFormat="false" ht="15" hidden="false" customHeight="false" outlineLevel="0" collapsed="false">
      <c r="A10" s="7" t="s">
        <v>143</v>
      </c>
      <c r="B10" s="11" t="n">
        <v>65</v>
      </c>
      <c r="C10" s="7" t="s">
        <v>353</v>
      </c>
      <c r="D10" s="7" t="s">
        <v>354</v>
      </c>
    </row>
    <row r="11" customFormat="false" ht="15" hidden="false" customHeight="false" outlineLevel="0" collapsed="false">
      <c r="A11" s="7" t="s">
        <v>134</v>
      </c>
      <c r="B11" s="11" t="n">
        <v>70</v>
      </c>
      <c r="C11" s="7" t="s">
        <v>355</v>
      </c>
      <c r="D11" s="7" t="s">
        <v>356</v>
      </c>
    </row>
    <row r="12" customFormat="false" ht="15" hidden="false" customHeight="false" outlineLevel="0" collapsed="false">
      <c r="A12" s="7" t="s">
        <v>74</v>
      </c>
      <c r="B12" s="11" t="n">
        <v>70</v>
      </c>
      <c r="C12" s="7" t="s">
        <v>357</v>
      </c>
      <c r="D12" s="7" t="s">
        <v>358</v>
      </c>
    </row>
    <row r="13" customFormat="false" ht="15" hidden="false" customHeight="false" outlineLevel="0" collapsed="false">
      <c r="A13" s="7" t="s">
        <v>78</v>
      </c>
      <c r="B13" s="11" t="n">
        <v>70</v>
      </c>
      <c r="C13" s="7" t="s">
        <v>359</v>
      </c>
      <c r="D13" s="7" t="s">
        <v>360</v>
      </c>
    </row>
    <row r="14" customFormat="false" ht="23.85" hidden="false" customHeight="false" outlineLevel="0" collapsed="false">
      <c r="A14" s="7" t="s">
        <v>30</v>
      </c>
      <c r="B14" s="11" t="n">
        <v>80</v>
      </c>
      <c r="C14" s="7" t="s">
        <v>361</v>
      </c>
      <c r="D14" s="7" t="s">
        <v>362</v>
      </c>
    </row>
    <row r="15" customFormat="false" ht="15" hidden="false" customHeight="false" outlineLevel="0" collapsed="false">
      <c r="A15" s="7" t="s">
        <v>25</v>
      </c>
      <c r="B15" s="11" t="n">
        <v>80</v>
      </c>
      <c r="C15" s="7" t="s">
        <v>363</v>
      </c>
      <c r="D15" s="7" t="s">
        <v>364</v>
      </c>
    </row>
    <row r="16" customFormat="false" ht="15" hidden="false" customHeight="false" outlineLevel="0" collapsed="false">
      <c r="A16" s="7" t="s">
        <v>230</v>
      </c>
      <c r="B16" s="11" t="n">
        <v>80</v>
      </c>
      <c r="C16" s="7" t="s">
        <v>365</v>
      </c>
      <c r="D16" s="7" t="s">
        <v>366</v>
      </c>
    </row>
    <row r="17" customFormat="false" ht="23.85" hidden="false" customHeight="false" outlineLevel="0" collapsed="false">
      <c r="A17" s="7" t="s">
        <v>36</v>
      </c>
      <c r="B17" s="11" t="n">
        <v>60</v>
      </c>
      <c r="C17" s="7" t="s">
        <v>367</v>
      </c>
      <c r="D17" s="7" t="s">
        <v>368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0"/>
  </cols>
  <sheetData>
    <row r="1" customFormat="false" ht="15" hidden="false" customHeight="false" outlineLevel="0" collapsed="false">
      <c r="A1" s="18" t="s">
        <v>369</v>
      </c>
    </row>
    <row r="2" customFormat="false" ht="15" hidden="false" customHeight="false" outlineLevel="0" collapsed="false">
      <c r="A2" s="19"/>
    </row>
    <row r="3" customFormat="false" ht="15" hidden="false" customHeight="false" outlineLevel="0" collapsed="false">
      <c r="A3" s="20" t="s">
        <v>370</v>
      </c>
    </row>
    <row r="4" customFormat="false" ht="23.85" hidden="false" customHeight="false" outlineLevel="0" collapsed="false">
      <c r="A4" s="19" t="s">
        <v>371</v>
      </c>
    </row>
    <row r="5" customFormat="false" ht="15" hidden="false" customHeight="false" outlineLevel="0" collapsed="false">
      <c r="A5" s="19" t="s">
        <v>372</v>
      </c>
    </row>
    <row r="6" customFormat="false" ht="15" hidden="false" customHeight="false" outlineLevel="0" collapsed="false">
      <c r="A6" s="19" t="s">
        <v>373</v>
      </c>
    </row>
    <row r="7" customFormat="false" ht="15" hidden="false" customHeight="false" outlineLevel="0" collapsed="false">
      <c r="A7" s="19"/>
    </row>
    <row r="8" customFormat="false" ht="15" hidden="false" customHeight="false" outlineLevel="0" collapsed="false">
      <c r="A8" s="20" t="s">
        <v>374</v>
      </c>
    </row>
    <row r="9" customFormat="false" ht="15" hidden="false" customHeight="false" outlineLevel="0" collapsed="false">
      <c r="A9" s="19" t="s">
        <v>375</v>
      </c>
    </row>
    <row r="10" customFormat="false" ht="15" hidden="false" customHeight="false" outlineLevel="0" collapsed="false">
      <c r="A10" s="19" t="s">
        <v>376</v>
      </c>
    </row>
    <row r="11" customFormat="false" ht="23.85" hidden="false" customHeight="false" outlineLevel="0" collapsed="false">
      <c r="A11" s="19" t="s">
        <v>377</v>
      </c>
    </row>
    <row r="12" customFormat="false" ht="23.85" hidden="false" customHeight="false" outlineLevel="0" collapsed="false">
      <c r="A12" s="19" t="s">
        <v>378</v>
      </c>
    </row>
    <row r="13" customFormat="false" ht="15" hidden="false" customHeight="false" outlineLevel="0" collapsed="false">
      <c r="A13" s="19"/>
    </row>
    <row r="14" customFormat="false" ht="15" hidden="false" customHeight="false" outlineLevel="0" collapsed="false">
      <c r="A14" s="20" t="s">
        <v>379</v>
      </c>
    </row>
    <row r="15" customFormat="false" ht="15" hidden="false" customHeight="false" outlineLevel="0" collapsed="false">
      <c r="A15" s="19" t="s">
        <v>380</v>
      </c>
    </row>
    <row r="16" customFormat="false" ht="15" hidden="false" customHeight="false" outlineLevel="0" collapsed="false">
      <c r="A16" s="19" t="s">
        <v>381</v>
      </c>
    </row>
    <row r="17" customFormat="false" ht="15" hidden="false" customHeight="false" outlineLevel="0" collapsed="false">
      <c r="A17" s="19" t="s">
        <v>382</v>
      </c>
    </row>
    <row r="18" customFormat="false" ht="23.85" hidden="false" customHeight="false" outlineLevel="0" collapsed="false">
      <c r="A18" s="19" t="s">
        <v>383</v>
      </c>
    </row>
    <row r="19" customFormat="false" ht="15" hidden="false" customHeight="false" outlineLevel="0" collapsed="false">
      <c r="A19" s="19"/>
    </row>
    <row r="20" customFormat="false" ht="15" hidden="false" customHeight="false" outlineLevel="0" collapsed="false">
      <c r="A20" s="20" t="s">
        <v>384</v>
      </c>
    </row>
    <row r="21" customFormat="false" ht="15" hidden="false" customHeight="false" outlineLevel="0" collapsed="false">
      <c r="A21" s="19" t="s">
        <v>385</v>
      </c>
    </row>
    <row r="22" customFormat="false" ht="15" hidden="false" customHeight="false" outlineLevel="0" collapsed="false">
      <c r="A22" s="19" t="s">
        <v>386</v>
      </c>
    </row>
    <row r="23" customFormat="false" ht="15" hidden="false" customHeight="false" outlineLevel="0" collapsed="false">
      <c r="A23" s="19" t="s">
        <v>387</v>
      </c>
    </row>
    <row r="24" customFormat="false" ht="15" hidden="false" customHeight="false" outlineLevel="0" collapsed="false">
      <c r="A24" s="19" t="s">
        <v>388</v>
      </c>
    </row>
    <row r="25" customFormat="false" ht="15" hidden="false" customHeight="false" outlineLevel="0" collapsed="false">
      <c r="A25" s="19" t="s">
        <v>389</v>
      </c>
    </row>
    <row r="26" customFormat="false" ht="15" hidden="false" customHeight="false" outlineLevel="0" collapsed="false">
      <c r="A26" s="19" t="s">
        <v>390</v>
      </c>
    </row>
    <row r="27" customFormat="false" ht="15" hidden="false" customHeight="false" outlineLevel="0" collapsed="false">
      <c r="A27" s="19" t="s">
        <v>391</v>
      </c>
    </row>
    <row r="28" customFormat="false" ht="15" hidden="false" customHeight="false" outlineLevel="0" collapsed="false">
      <c r="A28" s="19"/>
    </row>
    <row r="29" customFormat="false" ht="15" hidden="false" customHeight="false" outlineLevel="0" collapsed="false">
      <c r="A29" s="20" t="s">
        <v>392</v>
      </c>
    </row>
    <row r="30" customFormat="false" ht="23.85" hidden="false" customHeight="false" outlineLevel="0" collapsed="false">
      <c r="A30" s="19" t="s">
        <v>393</v>
      </c>
    </row>
    <row r="31" customFormat="false" ht="23.85" hidden="false" customHeight="false" outlineLevel="0" collapsed="false">
      <c r="A31" s="19" t="s">
        <v>394</v>
      </c>
    </row>
    <row r="32" customFormat="false" ht="23.85" hidden="false" customHeight="false" outlineLevel="0" collapsed="false">
      <c r="A32" s="19" t="s">
        <v>395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2026-10-12T07:43:58Z</dcterms:created>
  <dc:creator>openpyxl</dc:creator>
  <dc:description/>
  <dc:language>en-US</dc:language>
  <cp:lastModifiedBy/>
  <dcterms:modified xsi:type="dcterms:W3CDTF">2026-10-12T07:43:58Z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